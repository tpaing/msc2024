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F3CED686-7801-4A1C-941A-21F7EA7A9C6D}" xr6:coauthVersionLast="36" xr6:coauthVersionMax="36" xr10:uidLastSave="{00000000-0000-0000-0000-000000000000}"/>
  <bookViews>
    <workbookView xWindow="0" yWindow="0" windowWidth="28800" windowHeight="12225" activeTab="1" xr2:uid="{E85391B7-45D5-4B08-8444-C573227156F0}"/>
  </bookViews>
  <sheets>
    <sheet name="wr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" l="1"/>
  <c r="D5" i="2"/>
  <c r="E5" i="2"/>
  <c r="G5" i="2"/>
  <c r="H5" i="2"/>
  <c r="I5" i="2"/>
  <c r="J5" i="2"/>
  <c r="B5" i="2"/>
  <c r="C4" i="2"/>
  <c r="D4" i="2"/>
  <c r="E4" i="2"/>
  <c r="G4" i="2"/>
  <c r="H4" i="2"/>
  <c r="I4" i="2"/>
  <c r="J4" i="2"/>
  <c r="B4" i="2"/>
  <c r="G3" i="2"/>
  <c r="H3" i="2"/>
  <c r="I3" i="2"/>
  <c r="J3" i="2"/>
  <c r="E3" i="2"/>
  <c r="D3" i="2"/>
  <c r="C3" i="2"/>
  <c r="B3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2" i="1"/>
  <c r="B12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" i="1"/>
</calcChain>
</file>

<file path=xl/sharedStrings.xml><?xml version="1.0" encoding="utf-8"?>
<sst xmlns="http://schemas.openxmlformats.org/spreadsheetml/2006/main" count="399" uniqueCount="167">
  <si>
    <t>id</t>
  </si>
  <si>
    <t>pick</t>
  </si>
  <si>
    <t>ban</t>
  </si>
  <si>
    <t>winrate</t>
  </si>
  <si>
    <t>name</t>
  </si>
  <si>
    <t>0x</t>
  </si>
  <si>
    <t>MIYA</t>
  </si>
  <si>
    <t>BALMOND</t>
  </si>
  <si>
    <t>SABER</t>
  </si>
  <si>
    <t>4x</t>
  </si>
  <si>
    <t>3x</t>
  </si>
  <si>
    <t>ALICE</t>
  </si>
  <si>
    <t>NANA</t>
  </si>
  <si>
    <t>11x</t>
  </si>
  <si>
    <t>22x</t>
  </si>
  <si>
    <t>TIGREAL</t>
  </si>
  <si>
    <t>ALUCARD</t>
  </si>
  <si>
    <t>KARINA</t>
  </si>
  <si>
    <t>AKAI</t>
  </si>
  <si>
    <t>FRANCO</t>
  </si>
  <si>
    <t>2x</t>
  </si>
  <si>
    <t>BANE</t>
  </si>
  <si>
    <t>BRUNO</t>
  </si>
  <si>
    <t>CLINT</t>
  </si>
  <si>
    <t>RAFAELA</t>
  </si>
  <si>
    <t>EUDORA</t>
  </si>
  <si>
    <t>ZILONG</t>
  </si>
  <si>
    <t>FANNY</t>
  </si>
  <si>
    <t>LAYLA</t>
  </si>
  <si>
    <t>5x</t>
  </si>
  <si>
    <t>6x</t>
  </si>
  <si>
    <t>MINOTAUR</t>
  </si>
  <si>
    <t>9x</t>
  </si>
  <si>
    <t>LOLITA</t>
  </si>
  <si>
    <t>12x</t>
  </si>
  <si>
    <t>28x</t>
  </si>
  <si>
    <t>HAYABUSA</t>
  </si>
  <si>
    <t>FREYA</t>
  </si>
  <si>
    <t>GORD</t>
  </si>
  <si>
    <t>NATALIA</t>
  </si>
  <si>
    <t>KAGURA</t>
  </si>
  <si>
    <t>10x</t>
  </si>
  <si>
    <t>CHOU</t>
  </si>
  <si>
    <t>SUN</t>
  </si>
  <si>
    <t>7x</t>
  </si>
  <si>
    <t>ALPHA</t>
  </si>
  <si>
    <t>16x</t>
  </si>
  <si>
    <t>17x</t>
  </si>
  <si>
    <t>RUBY</t>
  </si>
  <si>
    <t>YI SUN-SHIN</t>
  </si>
  <si>
    <t>25x</t>
  </si>
  <si>
    <t>MOSKOV</t>
  </si>
  <si>
    <t>JOHNSON</t>
  </si>
  <si>
    <t>CYCLOPS</t>
  </si>
  <si>
    <t>ESTES</t>
  </si>
  <si>
    <t>HILDA</t>
  </si>
  <si>
    <t>8x</t>
  </si>
  <si>
    <t>AURORA</t>
  </si>
  <si>
    <t>LAPU-LAPU</t>
  </si>
  <si>
    <t>VEXANA</t>
  </si>
  <si>
    <t>29x</t>
  </si>
  <si>
    <t>ROGER</t>
  </si>
  <si>
    <t>KARRIE</t>
  </si>
  <si>
    <t>14x</t>
  </si>
  <si>
    <t>GATOTKACA</t>
  </si>
  <si>
    <t>HARLEY</t>
  </si>
  <si>
    <t>IRITHEL</t>
  </si>
  <si>
    <t>GROCK</t>
  </si>
  <si>
    <t>ARGUS</t>
  </si>
  <si>
    <t>ODETTE</t>
  </si>
  <si>
    <t>LANCELOT</t>
  </si>
  <si>
    <t>DIGGIE</t>
  </si>
  <si>
    <t>HYLOS</t>
  </si>
  <si>
    <t>20x</t>
  </si>
  <si>
    <t>13x</t>
  </si>
  <si>
    <t>ZHASK</t>
  </si>
  <si>
    <t>HELCURT</t>
  </si>
  <si>
    <t>PHARSA</t>
  </si>
  <si>
    <t>LESLEY</t>
  </si>
  <si>
    <t>JAWHEAD</t>
  </si>
  <si>
    <t>ANGELA</t>
  </si>
  <si>
    <t>GUSION</t>
  </si>
  <si>
    <t>VALIR</t>
  </si>
  <si>
    <t>MARTIS</t>
  </si>
  <si>
    <t>URANUS</t>
  </si>
  <si>
    <t>HANABI</t>
  </si>
  <si>
    <t>CHANG'E</t>
  </si>
  <si>
    <t>KAJA</t>
  </si>
  <si>
    <t>SELENA</t>
  </si>
  <si>
    <t>ALDOUS</t>
  </si>
  <si>
    <t>CLAUDE</t>
  </si>
  <si>
    <t>VALE</t>
  </si>
  <si>
    <t>LEOMORD</t>
  </si>
  <si>
    <t>LUNOX</t>
  </si>
  <si>
    <t>HANZO</t>
  </si>
  <si>
    <t>BELERICK</t>
  </si>
  <si>
    <t>KIMMY</t>
  </si>
  <si>
    <t>THAMUZ</t>
  </si>
  <si>
    <t>18x</t>
  </si>
  <si>
    <t>HARITH</t>
  </si>
  <si>
    <t>MINSITTHAR</t>
  </si>
  <si>
    <t>KADITA</t>
  </si>
  <si>
    <t>FARAMIS</t>
  </si>
  <si>
    <t>BADANG</t>
  </si>
  <si>
    <t>KHUFRA</t>
  </si>
  <si>
    <t>GRANGER</t>
  </si>
  <si>
    <t>GUINEVERE</t>
  </si>
  <si>
    <t>ESMERALDA</t>
  </si>
  <si>
    <t>TERIZLA</t>
  </si>
  <si>
    <t>X.BORG</t>
  </si>
  <si>
    <t>21x</t>
  </si>
  <si>
    <t>LING</t>
  </si>
  <si>
    <t>DYRROTH</t>
  </si>
  <si>
    <t>LYLIA</t>
  </si>
  <si>
    <t>BAXIA</t>
  </si>
  <si>
    <t>MASHA</t>
  </si>
  <si>
    <t>WANWAN</t>
  </si>
  <si>
    <t>SILVANNA</t>
  </si>
  <si>
    <t>CECILION</t>
  </si>
  <si>
    <t>CARMILLA</t>
  </si>
  <si>
    <t>ATLAS</t>
  </si>
  <si>
    <t>POPOL AND KUPA</t>
  </si>
  <si>
    <t>YU ZHONG</t>
  </si>
  <si>
    <t>LUO YI</t>
  </si>
  <si>
    <t>BENEDETTA</t>
  </si>
  <si>
    <t>KHALEED</t>
  </si>
  <si>
    <t>BARATS</t>
  </si>
  <si>
    <t>BRODY</t>
  </si>
  <si>
    <t>YVE</t>
  </si>
  <si>
    <t>15x</t>
  </si>
  <si>
    <t>MATHILDA</t>
  </si>
  <si>
    <t>PAQUITO</t>
  </si>
  <si>
    <t>GLOO</t>
  </si>
  <si>
    <t>BEATRIX</t>
  </si>
  <si>
    <t>PHOVEUS</t>
  </si>
  <si>
    <t>NATAN</t>
  </si>
  <si>
    <t>AULUS</t>
  </si>
  <si>
    <t>AAMON</t>
  </si>
  <si>
    <t>VALENTINA</t>
  </si>
  <si>
    <t>EDITH</t>
  </si>
  <si>
    <t>FLORYN</t>
  </si>
  <si>
    <t>YIN</t>
  </si>
  <si>
    <t>MELISSA</t>
  </si>
  <si>
    <t>XAVIER</t>
  </si>
  <si>
    <t>JULIAN</t>
  </si>
  <si>
    <t>FREDRINN</t>
  </si>
  <si>
    <t>JOY</t>
  </si>
  <si>
    <t>NOVARIA</t>
  </si>
  <si>
    <t>ARLOTT</t>
  </si>
  <si>
    <t>IXIA</t>
  </si>
  <si>
    <t>NOLAN</t>
  </si>
  <si>
    <t>CICI</t>
  </si>
  <si>
    <t>45x</t>
  </si>
  <si>
    <t>CHIP</t>
  </si>
  <si>
    <t>23x</t>
  </si>
  <si>
    <t>ZHUXIN</t>
  </si>
  <si>
    <t>VS</t>
  </si>
  <si>
    <t>Win 4</t>
  </si>
  <si>
    <t>Win 3</t>
  </si>
  <si>
    <t>Win 2</t>
  </si>
  <si>
    <t>Win 1</t>
  </si>
  <si>
    <t>vs</t>
  </si>
  <si>
    <t>hud</t>
  </si>
  <si>
    <t>result</t>
  </si>
  <si>
    <t>C:\data\vs\wl\</t>
  </si>
  <si>
    <t>C:\data\hud\wl\</t>
  </si>
  <si>
    <t>C:\data\result\wl\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</si>
</sst>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9" fontId="3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9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06AD2C-3179-4F8C-B509-3A133F36EC04}">
  <we:reference id="wa104380263" version="2.0.0.0" store="en-US" storeType="OMEX"/>
  <we:alternateReferences>
    <we:reference id="WA104380263" version="2.0.0.0" store="WA1043802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B5FC-BA8C-4D44-AC31-1DFF632BD31F}">
  <dimension ref="A1:K126"/>
  <sheetViews>
    <sheetView topLeftCell="A40" workbookViewId="0">
      <selection activeCell="H141" sqref="H141"/>
    </sheetView>
  </sheetViews>
  <sheetFormatPr defaultRowHeight="15" x14ac:dyDescent="0.25"/>
  <sheetData>
    <row r="1" spans="1:11" ht="15.75" thickBot="1" x14ac:dyDescent="0.3">
      <c r="A1" s="1" t="str">
        <f>G1</f>
        <v>id</v>
      </c>
      <c r="B1" s="1" t="s">
        <v>1</v>
      </c>
      <c r="C1" s="1" t="s">
        <v>2</v>
      </c>
      <c r="D1" s="1" t="str">
        <f>J1</f>
        <v>winrate</v>
      </c>
      <c r="E1" s="1" t="str">
        <f>K1</f>
        <v>name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1" ht="15.75" thickBot="1" x14ac:dyDescent="0.3">
      <c r="A2" s="1">
        <f t="shared" ref="A2:A65" si="0">G2</f>
        <v>1</v>
      </c>
      <c r="B2" s="2" t="str">
        <f>LEFT(H2, FIND("x", H2)-1)</f>
        <v>0</v>
      </c>
      <c r="C2" s="2" t="str">
        <f>LEFT(I2, FIND("x", I2)-1)</f>
        <v>0</v>
      </c>
      <c r="D2" s="1">
        <f t="shared" ref="D2:D65" si="1">J2</f>
        <v>0</v>
      </c>
      <c r="E2" s="2" t="str">
        <f t="shared" ref="E2:E65" si="2">K2</f>
        <v>MIYA</v>
      </c>
      <c r="G2" s="2">
        <v>1</v>
      </c>
      <c r="H2" s="2" t="s">
        <v>5</v>
      </c>
      <c r="I2" s="2" t="s">
        <v>5</v>
      </c>
      <c r="J2" s="3">
        <v>0</v>
      </c>
      <c r="K2" s="4" t="s">
        <v>6</v>
      </c>
    </row>
    <row r="3" spans="1:11" ht="30.75" thickBot="1" x14ac:dyDescent="0.3">
      <c r="A3" s="1">
        <f t="shared" si="0"/>
        <v>2</v>
      </c>
      <c r="B3" s="2" t="str">
        <f t="shared" ref="B3:B66" si="3">LEFT(H3, FIND("x", H3)-1)</f>
        <v>0</v>
      </c>
      <c r="C3" s="2" t="str">
        <f t="shared" ref="C3:C66" si="4">LEFT(I3, FIND("x", I3)-1)</f>
        <v>0</v>
      </c>
      <c r="D3" s="1">
        <f t="shared" si="1"/>
        <v>0</v>
      </c>
      <c r="E3" s="2" t="str">
        <f t="shared" si="2"/>
        <v>BALMOND</v>
      </c>
      <c r="G3" s="2">
        <v>2</v>
      </c>
      <c r="H3" s="2" t="s">
        <v>5</v>
      </c>
      <c r="I3" s="2" t="s">
        <v>5</v>
      </c>
      <c r="J3" s="3">
        <v>0</v>
      </c>
      <c r="K3" s="4" t="s">
        <v>7</v>
      </c>
    </row>
    <row r="4" spans="1:11" ht="15.75" thickBot="1" x14ac:dyDescent="0.3">
      <c r="A4" s="1">
        <f t="shared" si="0"/>
        <v>3</v>
      </c>
      <c r="B4" s="2" t="str">
        <f t="shared" si="3"/>
        <v>0</v>
      </c>
      <c r="C4" s="2" t="str">
        <f t="shared" si="4"/>
        <v>0</v>
      </c>
      <c r="D4" s="1">
        <f t="shared" si="1"/>
        <v>0</v>
      </c>
      <c r="E4" s="2" t="str">
        <f t="shared" si="2"/>
        <v>SABER</v>
      </c>
      <c r="G4" s="5">
        <v>3</v>
      </c>
      <c r="H4" s="2" t="s">
        <v>5</v>
      </c>
      <c r="I4" s="2" t="s">
        <v>5</v>
      </c>
      <c r="J4" s="3">
        <v>0</v>
      </c>
      <c r="K4" s="4" t="s">
        <v>8</v>
      </c>
    </row>
    <row r="5" spans="1:11" ht="15.75" thickBot="1" x14ac:dyDescent="0.3">
      <c r="A5" s="1">
        <f t="shared" si="0"/>
        <v>4</v>
      </c>
      <c r="B5" s="2" t="str">
        <f t="shared" si="3"/>
        <v>4</v>
      </c>
      <c r="C5" s="2" t="str">
        <f t="shared" si="4"/>
        <v>3</v>
      </c>
      <c r="D5" s="1">
        <f t="shared" si="1"/>
        <v>0.5</v>
      </c>
      <c r="E5" s="2" t="str">
        <f t="shared" si="2"/>
        <v>ALICE</v>
      </c>
      <c r="G5" s="2">
        <v>4</v>
      </c>
      <c r="H5" s="2" t="s">
        <v>9</v>
      </c>
      <c r="I5" s="2" t="s">
        <v>10</v>
      </c>
      <c r="J5" s="3">
        <v>0.5</v>
      </c>
      <c r="K5" s="4" t="s">
        <v>11</v>
      </c>
    </row>
    <row r="6" spans="1:11" ht="15.75" thickBot="1" x14ac:dyDescent="0.3">
      <c r="A6" s="1">
        <f t="shared" si="0"/>
        <v>5</v>
      </c>
      <c r="B6" s="2" t="str">
        <f t="shared" si="3"/>
        <v>0</v>
      </c>
      <c r="C6" s="2" t="str">
        <f t="shared" si="4"/>
        <v>0</v>
      </c>
      <c r="D6" s="1">
        <f t="shared" si="1"/>
        <v>0</v>
      </c>
      <c r="E6" s="2" t="str">
        <f t="shared" si="2"/>
        <v>NANA</v>
      </c>
      <c r="G6" s="2">
        <v>5</v>
      </c>
      <c r="H6" s="2" t="s">
        <v>5</v>
      </c>
      <c r="I6" s="2" t="s">
        <v>5</v>
      </c>
      <c r="J6" s="3">
        <v>0</v>
      </c>
      <c r="K6" s="4" t="s">
        <v>12</v>
      </c>
    </row>
    <row r="7" spans="1:11" ht="15.75" thickBot="1" x14ac:dyDescent="0.3">
      <c r="A7" s="1">
        <f t="shared" si="0"/>
        <v>6</v>
      </c>
      <c r="B7" s="2" t="str">
        <f t="shared" si="3"/>
        <v>11</v>
      </c>
      <c r="C7" s="2" t="str">
        <f t="shared" si="4"/>
        <v>22</v>
      </c>
      <c r="D7" s="1">
        <f t="shared" si="1"/>
        <v>0.45</v>
      </c>
      <c r="E7" s="2" t="str">
        <f t="shared" si="2"/>
        <v>TIGREAL</v>
      </c>
      <c r="G7" s="5">
        <v>6</v>
      </c>
      <c r="H7" s="2" t="s">
        <v>13</v>
      </c>
      <c r="I7" s="2" t="s">
        <v>14</v>
      </c>
      <c r="J7" s="6">
        <v>0.45</v>
      </c>
      <c r="K7" s="4" t="s">
        <v>15</v>
      </c>
    </row>
    <row r="8" spans="1:11" ht="30.75" thickBot="1" x14ac:dyDescent="0.3">
      <c r="A8" s="1">
        <f t="shared" si="0"/>
        <v>7</v>
      </c>
      <c r="B8" s="2" t="str">
        <f t="shared" si="3"/>
        <v>0</v>
      </c>
      <c r="C8" s="2" t="str">
        <f t="shared" si="4"/>
        <v>0</v>
      </c>
      <c r="D8" s="1">
        <f t="shared" si="1"/>
        <v>0</v>
      </c>
      <c r="E8" s="2" t="str">
        <f t="shared" si="2"/>
        <v>ALUCARD</v>
      </c>
      <c r="G8" s="2">
        <v>7</v>
      </c>
      <c r="H8" s="2" t="s">
        <v>5</v>
      </c>
      <c r="I8" s="2" t="s">
        <v>5</v>
      </c>
      <c r="J8" s="3">
        <v>0</v>
      </c>
      <c r="K8" s="4" t="s">
        <v>16</v>
      </c>
    </row>
    <row r="9" spans="1:11" ht="15.75" thickBot="1" x14ac:dyDescent="0.3">
      <c r="A9" s="1">
        <f t="shared" si="0"/>
        <v>8</v>
      </c>
      <c r="B9" s="2" t="str">
        <f t="shared" si="3"/>
        <v>0</v>
      </c>
      <c r="C9" s="2" t="str">
        <f t="shared" si="4"/>
        <v>0</v>
      </c>
      <c r="D9" s="1">
        <f t="shared" si="1"/>
        <v>0</v>
      </c>
      <c r="E9" s="2" t="str">
        <f t="shared" si="2"/>
        <v>KARINA</v>
      </c>
      <c r="G9" s="2">
        <v>8</v>
      </c>
      <c r="H9" s="2" t="s">
        <v>5</v>
      </c>
      <c r="I9" s="2" t="s">
        <v>5</v>
      </c>
      <c r="J9" s="3">
        <v>0</v>
      </c>
      <c r="K9" s="4" t="s">
        <v>17</v>
      </c>
    </row>
    <row r="10" spans="1:11" ht="15.75" thickBot="1" x14ac:dyDescent="0.3">
      <c r="A10" s="1">
        <f t="shared" si="0"/>
        <v>9</v>
      </c>
      <c r="B10" s="2" t="str">
        <f t="shared" si="3"/>
        <v>0</v>
      </c>
      <c r="C10" s="2" t="str">
        <f t="shared" si="4"/>
        <v>0</v>
      </c>
      <c r="D10" s="1">
        <f t="shared" si="1"/>
        <v>0</v>
      </c>
      <c r="E10" s="2" t="str">
        <f t="shared" si="2"/>
        <v>AKAI</v>
      </c>
      <c r="G10" s="5">
        <v>9</v>
      </c>
      <c r="H10" s="2" t="s">
        <v>5</v>
      </c>
      <c r="I10" s="2" t="s">
        <v>5</v>
      </c>
      <c r="J10" s="3">
        <v>0</v>
      </c>
      <c r="K10" s="4" t="s">
        <v>18</v>
      </c>
    </row>
    <row r="11" spans="1:11" ht="15.75" thickBot="1" x14ac:dyDescent="0.3">
      <c r="A11" s="1">
        <f t="shared" si="0"/>
        <v>10</v>
      </c>
      <c r="B11" s="2" t="str">
        <f t="shared" si="3"/>
        <v>0</v>
      </c>
      <c r="C11" s="2" t="str">
        <f t="shared" si="4"/>
        <v>0</v>
      </c>
      <c r="D11" s="1">
        <f t="shared" si="1"/>
        <v>0</v>
      </c>
      <c r="E11" s="2" t="str">
        <f t="shared" si="2"/>
        <v>FRANCO</v>
      </c>
      <c r="G11" s="2">
        <v>10</v>
      </c>
      <c r="H11" s="2" t="s">
        <v>5</v>
      </c>
      <c r="I11" s="2" t="s">
        <v>5</v>
      </c>
      <c r="J11" s="3">
        <v>0</v>
      </c>
      <c r="K11" s="4" t="s">
        <v>19</v>
      </c>
    </row>
    <row r="12" spans="1:11" ht="15.75" thickBot="1" x14ac:dyDescent="0.3">
      <c r="A12" s="1">
        <f t="shared" si="0"/>
        <v>11</v>
      </c>
      <c r="B12" s="2" t="str">
        <f t="shared" si="3"/>
        <v>2</v>
      </c>
      <c r="C12" s="2" t="str">
        <f t="shared" si="4"/>
        <v>0</v>
      </c>
      <c r="D12" s="1">
        <f t="shared" si="1"/>
        <v>0</v>
      </c>
      <c r="E12" s="2" t="str">
        <f t="shared" si="2"/>
        <v>BANE</v>
      </c>
      <c r="G12" s="2">
        <v>11</v>
      </c>
      <c r="H12" s="2" t="s">
        <v>20</v>
      </c>
      <c r="I12" s="2" t="s">
        <v>5</v>
      </c>
      <c r="J12" s="3">
        <v>0</v>
      </c>
      <c r="K12" s="4" t="s">
        <v>21</v>
      </c>
    </row>
    <row r="13" spans="1:11" ht="15.75" thickBot="1" x14ac:dyDescent="0.3">
      <c r="A13" s="1">
        <f t="shared" si="0"/>
        <v>12</v>
      </c>
      <c r="B13" s="2" t="str">
        <f t="shared" si="3"/>
        <v>4</v>
      </c>
      <c r="C13" s="2" t="str">
        <f t="shared" si="4"/>
        <v>0</v>
      </c>
      <c r="D13" s="1">
        <f t="shared" si="1"/>
        <v>0.25</v>
      </c>
      <c r="E13" s="2" t="str">
        <f t="shared" si="2"/>
        <v>BRUNO</v>
      </c>
      <c r="G13" s="5">
        <v>12</v>
      </c>
      <c r="H13" s="2" t="s">
        <v>9</v>
      </c>
      <c r="I13" s="2" t="s">
        <v>5</v>
      </c>
      <c r="J13" s="6">
        <v>0.25</v>
      </c>
      <c r="K13" s="4" t="s">
        <v>22</v>
      </c>
    </row>
    <row r="14" spans="1:11" ht="15.75" thickBot="1" x14ac:dyDescent="0.3">
      <c r="A14" s="1">
        <f t="shared" si="0"/>
        <v>13</v>
      </c>
      <c r="B14" s="2" t="str">
        <f t="shared" si="3"/>
        <v>0</v>
      </c>
      <c r="C14" s="2" t="str">
        <f t="shared" si="4"/>
        <v>0</v>
      </c>
      <c r="D14" s="1">
        <f t="shared" si="1"/>
        <v>0</v>
      </c>
      <c r="E14" s="2" t="str">
        <f t="shared" si="2"/>
        <v>CLINT</v>
      </c>
      <c r="G14" s="2">
        <v>13</v>
      </c>
      <c r="H14" s="2" t="s">
        <v>5</v>
      </c>
      <c r="I14" s="2" t="s">
        <v>5</v>
      </c>
      <c r="J14" s="3">
        <v>0</v>
      </c>
      <c r="K14" s="4" t="s">
        <v>23</v>
      </c>
    </row>
    <row r="15" spans="1:11" ht="27" thickBot="1" x14ac:dyDescent="0.3">
      <c r="A15" s="1">
        <f t="shared" si="0"/>
        <v>14</v>
      </c>
      <c r="B15" s="2" t="str">
        <f t="shared" si="3"/>
        <v>0</v>
      </c>
      <c r="C15" s="2" t="str">
        <f t="shared" si="4"/>
        <v>0</v>
      </c>
      <c r="D15" s="1">
        <f t="shared" si="1"/>
        <v>0</v>
      </c>
      <c r="E15" s="2" t="str">
        <f t="shared" si="2"/>
        <v>RAFAELA</v>
      </c>
      <c r="G15" s="2">
        <v>14</v>
      </c>
      <c r="H15" s="2" t="s">
        <v>5</v>
      </c>
      <c r="I15" s="2" t="s">
        <v>5</v>
      </c>
      <c r="J15" s="3">
        <v>0</v>
      </c>
      <c r="K15" s="4" t="s">
        <v>24</v>
      </c>
    </row>
    <row r="16" spans="1:11" ht="15.75" thickBot="1" x14ac:dyDescent="0.3">
      <c r="A16" s="1">
        <f t="shared" si="0"/>
        <v>15</v>
      </c>
      <c r="B16" s="2" t="str">
        <f t="shared" si="3"/>
        <v>0</v>
      </c>
      <c r="C16" s="2" t="str">
        <f t="shared" si="4"/>
        <v>0</v>
      </c>
      <c r="D16" s="1">
        <f t="shared" si="1"/>
        <v>0</v>
      </c>
      <c r="E16" s="2" t="str">
        <f t="shared" si="2"/>
        <v>EUDORA</v>
      </c>
      <c r="G16" s="5">
        <v>15</v>
      </c>
      <c r="H16" s="2" t="s">
        <v>5</v>
      </c>
      <c r="I16" s="2" t="s">
        <v>5</v>
      </c>
      <c r="J16" s="3">
        <v>0</v>
      </c>
      <c r="K16" s="4" t="s">
        <v>25</v>
      </c>
    </row>
    <row r="17" spans="1:11" ht="15.75" thickBot="1" x14ac:dyDescent="0.3">
      <c r="A17" s="1">
        <f t="shared" si="0"/>
        <v>16</v>
      </c>
      <c r="B17" s="2" t="str">
        <f t="shared" si="3"/>
        <v>0</v>
      </c>
      <c r="C17" s="2" t="str">
        <f t="shared" si="4"/>
        <v>0</v>
      </c>
      <c r="D17" s="1">
        <f t="shared" si="1"/>
        <v>0</v>
      </c>
      <c r="E17" s="2" t="str">
        <f t="shared" si="2"/>
        <v>ZILONG</v>
      </c>
      <c r="G17" s="2">
        <v>16</v>
      </c>
      <c r="H17" s="2" t="s">
        <v>5</v>
      </c>
      <c r="I17" s="2" t="s">
        <v>5</v>
      </c>
      <c r="J17" s="3">
        <v>0</v>
      </c>
      <c r="K17" s="4" t="s">
        <v>26</v>
      </c>
    </row>
    <row r="18" spans="1:11" ht="15.75" thickBot="1" x14ac:dyDescent="0.3">
      <c r="A18" s="1">
        <f t="shared" si="0"/>
        <v>17</v>
      </c>
      <c r="B18" s="2" t="str">
        <f t="shared" si="3"/>
        <v>0</v>
      </c>
      <c r="C18" s="2" t="str">
        <f t="shared" si="4"/>
        <v>0</v>
      </c>
      <c r="D18" s="1">
        <f t="shared" si="1"/>
        <v>0</v>
      </c>
      <c r="E18" s="2" t="str">
        <f t="shared" si="2"/>
        <v>FANNY</v>
      </c>
      <c r="G18" s="2">
        <v>17</v>
      </c>
      <c r="H18" s="2" t="s">
        <v>5</v>
      </c>
      <c r="I18" s="2" t="s">
        <v>5</v>
      </c>
      <c r="J18" s="3">
        <v>0</v>
      </c>
      <c r="K18" s="4" t="s">
        <v>27</v>
      </c>
    </row>
    <row r="19" spans="1:11" ht="15.75" thickBot="1" x14ac:dyDescent="0.3">
      <c r="A19" s="1">
        <f t="shared" si="0"/>
        <v>18</v>
      </c>
      <c r="B19" s="2" t="str">
        <f t="shared" si="3"/>
        <v>0</v>
      </c>
      <c r="C19" s="2" t="str">
        <f t="shared" si="4"/>
        <v>0</v>
      </c>
      <c r="D19" s="1">
        <f t="shared" si="1"/>
        <v>0</v>
      </c>
      <c r="E19" s="2" t="str">
        <f t="shared" si="2"/>
        <v>LAYLA</v>
      </c>
      <c r="G19" s="5">
        <v>18</v>
      </c>
      <c r="H19" s="2" t="s">
        <v>5</v>
      </c>
      <c r="I19" s="2" t="s">
        <v>5</v>
      </c>
      <c r="J19" s="3">
        <v>0</v>
      </c>
      <c r="K19" s="4" t="s">
        <v>28</v>
      </c>
    </row>
    <row r="20" spans="1:11" ht="30.75" thickBot="1" x14ac:dyDescent="0.3">
      <c r="A20" s="1">
        <f t="shared" si="0"/>
        <v>19</v>
      </c>
      <c r="B20" s="2" t="str">
        <f t="shared" si="3"/>
        <v>5</v>
      </c>
      <c r="C20" s="2" t="str">
        <f t="shared" si="4"/>
        <v>6</v>
      </c>
      <c r="D20" s="1">
        <f t="shared" si="1"/>
        <v>0</v>
      </c>
      <c r="E20" s="2" t="str">
        <f t="shared" si="2"/>
        <v>MINOTAUR</v>
      </c>
      <c r="G20" s="2">
        <v>19</v>
      </c>
      <c r="H20" s="2" t="s">
        <v>29</v>
      </c>
      <c r="I20" s="2" t="s">
        <v>30</v>
      </c>
      <c r="J20" s="3">
        <v>0</v>
      </c>
      <c r="K20" s="4" t="s">
        <v>31</v>
      </c>
    </row>
    <row r="21" spans="1:11" ht="15.75" thickBot="1" x14ac:dyDescent="0.3">
      <c r="A21" s="1">
        <f t="shared" si="0"/>
        <v>20</v>
      </c>
      <c r="B21" s="2" t="str">
        <f t="shared" si="3"/>
        <v>5</v>
      </c>
      <c r="C21" s="2" t="str">
        <f t="shared" si="4"/>
        <v>9</v>
      </c>
      <c r="D21" s="1">
        <f t="shared" si="1"/>
        <v>0.8</v>
      </c>
      <c r="E21" s="2" t="str">
        <f t="shared" si="2"/>
        <v>LOLITA</v>
      </c>
      <c r="G21" s="2">
        <v>20</v>
      </c>
      <c r="H21" s="2" t="s">
        <v>29</v>
      </c>
      <c r="I21" s="2" t="s">
        <v>32</v>
      </c>
      <c r="J21" s="6">
        <v>0.8</v>
      </c>
      <c r="K21" s="4" t="s">
        <v>33</v>
      </c>
    </row>
    <row r="22" spans="1:11" ht="30.75" thickBot="1" x14ac:dyDescent="0.3">
      <c r="A22" s="1">
        <f t="shared" si="0"/>
        <v>21</v>
      </c>
      <c r="B22" s="2" t="str">
        <f t="shared" si="3"/>
        <v>12</v>
      </c>
      <c r="C22" s="2" t="str">
        <f t="shared" si="4"/>
        <v>28</v>
      </c>
      <c r="D22" s="1">
        <f t="shared" si="1"/>
        <v>0.67</v>
      </c>
      <c r="E22" s="2" t="str">
        <f t="shared" si="2"/>
        <v>HAYABUSA</v>
      </c>
      <c r="G22" s="5">
        <v>21</v>
      </c>
      <c r="H22" s="2" t="s">
        <v>34</v>
      </c>
      <c r="I22" s="2" t="s">
        <v>35</v>
      </c>
      <c r="J22" s="6">
        <v>0.67</v>
      </c>
      <c r="K22" s="4" t="s">
        <v>36</v>
      </c>
    </row>
    <row r="23" spans="1:11" ht="15.75" thickBot="1" x14ac:dyDescent="0.3">
      <c r="A23" s="1">
        <f t="shared" si="0"/>
        <v>22</v>
      </c>
      <c r="B23" s="2" t="str">
        <f t="shared" si="3"/>
        <v>0</v>
      </c>
      <c r="C23" s="2" t="str">
        <f t="shared" si="4"/>
        <v>0</v>
      </c>
      <c r="D23" s="1">
        <f t="shared" si="1"/>
        <v>0</v>
      </c>
      <c r="E23" s="2" t="str">
        <f t="shared" si="2"/>
        <v>FREYA</v>
      </c>
      <c r="G23" s="2">
        <v>22</v>
      </c>
      <c r="H23" s="2" t="s">
        <v>5</v>
      </c>
      <c r="I23" s="2" t="s">
        <v>5</v>
      </c>
      <c r="J23" s="3">
        <v>0</v>
      </c>
      <c r="K23" s="4" t="s">
        <v>37</v>
      </c>
    </row>
    <row r="24" spans="1:11" ht="15.75" thickBot="1" x14ac:dyDescent="0.3">
      <c r="A24" s="1">
        <f t="shared" si="0"/>
        <v>23</v>
      </c>
      <c r="B24" s="2" t="str">
        <f t="shared" si="3"/>
        <v>0</v>
      </c>
      <c r="C24" s="2" t="str">
        <f t="shared" si="4"/>
        <v>0</v>
      </c>
      <c r="D24" s="1">
        <f t="shared" si="1"/>
        <v>0</v>
      </c>
      <c r="E24" s="2" t="str">
        <f t="shared" si="2"/>
        <v>GORD</v>
      </c>
      <c r="G24" s="2">
        <v>23</v>
      </c>
      <c r="H24" s="2" t="s">
        <v>5</v>
      </c>
      <c r="I24" s="2" t="s">
        <v>5</v>
      </c>
      <c r="J24" s="3">
        <v>0</v>
      </c>
      <c r="K24" s="4" t="s">
        <v>38</v>
      </c>
    </row>
    <row r="25" spans="1:11" ht="15.75" thickBot="1" x14ac:dyDescent="0.3">
      <c r="A25" s="1">
        <f t="shared" si="0"/>
        <v>24</v>
      </c>
      <c r="B25" s="2" t="str">
        <f t="shared" si="3"/>
        <v>0</v>
      </c>
      <c r="C25" s="2" t="str">
        <f t="shared" si="4"/>
        <v>0</v>
      </c>
      <c r="D25" s="1">
        <f t="shared" si="1"/>
        <v>0</v>
      </c>
      <c r="E25" s="2" t="str">
        <f t="shared" si="2"/>
        <v>NATALIA</v>
      </c>
      <c r="G25" s="5">
        <v>24</v>
      </c>
      <c r="H25" s="2" t="s">
        <v>5</v>
      </c>
      <c r="I25" s="2" t="s">
        <v>5</v>
      </c>
      <c r="J25" s="3">
        <v>0</v>
      </c>
      <c r="K25" s="4" t="s">
        <v>39</v>
      </c>
    </row>
    <row r="26" spans="1:11" ht="15.75" thickBot="1" x14ac:dyDescent="0.3">
      <c r="A26" s="1">
        <f t="shared" si="0"/>
        <v>25</v>
      </c>
      <c r="B26" s="2" t="str">
        <f t="shared" si="3"/>
        <v>0</v>
      </c>
      <c r="C26" s="2" t="str">
        <f t="shared" si="4"/>
        <v>0</v>
      </c>
      <c r="D26" s="1">
        <f t="shared" si="1"/>
        <v>0</v>
      </c>
      <c r="E26" s="2" t="str">
        <f t="shared" si="2"/>
        <v>KAGURA</v>
      </c>
      <c r="G26" s="2">
        <v>25</v>
      </c>
      <c r="H26" s="2" t="s">
        <v>5</v>
      </c>
      <c r="I26" s="2" t="s">
        <v>5</v>
      </c>
      <c r="J26" s="3">
        <v>0</v>
      </c>
      <c r="K26" s="4" t="s">
        <v>40</v>
      </c>
    </row>
    <row r="27" spans="1:11" ht="15.75" thickBot="1" x14ac:dyDescent="0.3">
      <c r="A27" s="1">
        <f t="shared" si="0"/>
        <v>26</v>
      </c>
      <c r="B27" s="2" t="str">
        <f t="shared" si="3"/>
        <v>9</v>
      </c>
      <c r="C27" s="2" t="str">
        <f t="shared" si="4"/>
        <v>10</v>
      </c>
      <c r="D27" s="1">
        <f t="shared" si="1"/>
        <v>0.56000000000000005</v>
      </c>
      <c r="E27" s="2" t="str">
        <f t="shared" si="2"/>
        <v>CHOU</v>
      </c>
      <c r="G27" s="2">
        <v>26</v>
      </c>
      <c r="H27" s="2" t="s">
        <v>32</v>
      </c>
      <c r="I27" s="2" t="s">
        <v>41</v>
      </c>
      <c r="J27" s="6">
        <v>0.56000000000000005</v>
      </c>
      <c r="K27" s="4" t="s">
        <v>42</v>
      </c>
    </row>
    <row r="28" spans="1:11" ht="15.75" thickBot="1" x14ac:dyDescent="0.3">
      <c r="A28" s="1">
        <f t="shared" si="0"/>
        <v>27</v>
      </c>
      <c r="B28" s="2" t="str">
        <f t="shared" si="3"/>
        <v>0</v>
      </c>
      <c r="C28" s="2" t="str">
        <f t="shared" si="4"/>
        <v>0</v>
      </c>
      <c r="D28" s="1">
        <f t="shared" si="1"/>
        <v>0</v>
      </c>
      <c r="E28" s="2" t="str">
        <f t="shared" si="2"/>
        <v>SUN</v>
      </c>
      <c r="G28" s="5">
        <v>27</v>
      </c>
      <c r="H28" s="2" t="s">
        <v>5</v>
      </c>
      <c r="I28" s="2" t="s">
        <v>5</v>
      </c>
      <c r="J28" s="3">
        <v>0</v>
      </c>
      <c r="K28" s="4" t="s">
        <v>43</v>
      </c>
    </row>
    <row r="29" spans="1:11" ht="15.75" thickBot="1" x14ac:dyDescent="0.3">
      <c r="A29" s="1">
        <f t="shared" si="0"/>
        <v>28</v>
      </c>
      <c r="B29" s="2" t="str">
        <f t="shared" si="3"/>
        <v>7</v>
      </c>
      <c r="C29" s="2" t="str">
        <f t="shared" si="4"/>
        <v>7</v>
      </c>
      <c r="D29" s="1">
        <f t="shared" si="1"/>
        <v>0.14000000000000001</v>
      </c>
      <c r="E29" s="2" t="str">
        <f t="shared" si="2"/>
        <v>ALPHA</v>
      </c>
      <c r="G29" s="2">
        <v>28</v>
      </c>
      <c r="H29" s="2" t="s">
        <v>44</v>
      </c>
      <c r="I29" s="2" t="s">
        <v>44</v>
      </c>
      <c r="J29" s="6">
        <v>0.14000000000000001</v>
      </c>
      <c r="K29" s="4" t="s">
        <v>45</v>
      </c>
    </row>
    <row r="30" spans="1:11" ht="15.75" thickBot="1" x14ac:dyDescent="0.3">
      <c r="A30" s="1">
        <f t="shared" si="0"/>
        <v>29</v>
      </c>
      <c r="B30" s="2" t="str">
        <f t="shared" si="3"/>
        <v>16</v>
      </c>
      <c r="C30" s="2" t="str">
        <f t="shared" si="4"/>
        <v>17</v>
      </c>
      <c r="D30" s="1">
        <f t="shared" si="1"/>
        <v>0.38</v>
      </c>
      <c r="E30" s="2" t="str">
        <f t="shared" si="2"/>
        <v>RUBY</v>
      </c>
      <c r="G30" s="2">
        <v>29</v>
      </c>
      <c r="H30" s="2" t="s">
        <v>46</v>
      </c>
      <c r="I30" s="2" t="s">
        <v>47</v>
      </c>
      <c r="J30" s="6">
        <v>0.38</v>
      </c>
      <c r="K30" s="4" t="s">
        <v>48</v>
      </c>
    </row>
    <row r="31" spans="1:11" ht="30.75" thickBot="1" x14ac:dyDescent="0.3">
      <c r="A31" s="1">
        <f t="shared" si="0"/>
        <v>30</v>
      </c>
      <c r="B31" s="2" t="str">
        <f t="shared" si="3"/>
        <v>0</v>
      </c>
      <c r="C31" s="2" t="str">
        <f t="shared" si="4"/>
        <v>0</v>
      </c>
      <c r="D31" s="1">
        <f t="shared" si="1"/>
        <v>0</v>
      </c>
      <c r="E31" s="2" t="str">
        <f t="shared" si="2"/>
        <v>YI SUN-SHIN</v>
      </c>
      <c r="G31" s="5">
        <v>30</v>
      </c>
      <c r="H31" s="2" t="s">
        <v>5</v>
      </c>
      <c r="I31" s="2" t="s">
        <v>5</v>
      </c>
      <c r="J31" s="3">
        <v>0</v>
      </c>
      <c r="K31" s="4" t="s">
        <v>49</v>
      </c>
    </row>
    <row r="32" spans="1:11" ht="27" thickBot="1" x14ac:dyDescent="0.3">
      <c r="A32" s="1">
        <f t="shared" si="0"/>
        <v>31</v>
      </c>
      <c r="B32" s="2" t="str">
        <f t="shared" si="3"/>
        <v>25</v>
      </c>
      <c r="C32" s="2" t="str">
        <f t="shared" si="4"/>
        <v>5</v>
      </c>
      <c r="D32" s="1">
        <f t="shared" si="1"/>
        <v>0.36</v>
      </c>
      <c r="E32" s="2" t="str">
        <f t="shared" si="2"/>
        <v>MOSKOV</v>
      </c>
      <c r="G32" s="2">
        <v>31</v>
      </c>
      <c r="H32" s="2" t="s">
        <v>50</v>
      </c>
      <c r="I32" s="2" t="s">
        <v>29</v>
      </c>
      <c r="J32" s="6">
        <v>0.36</v>
      </c>
      <c r="K32" s="4" t="s">
        <v>51</v>
      </c>
    </row>
    <row r="33" spans="1:11" ht="30.75" thickBot="1" x14ac:dyDescent="0.3">
      <c r="A33" s="1">
        <f t="shared" si="0"/>
        <v>32</v>
      </c>
      <c r="B33" s="2" t="str">
        <f t="shared" si="3"/>
        <v>0</v>
      </c>
      <c r="C33" s="2" t="str">
        <f t="shared" si="4"/>
        <v>0</v>
      </c>
      <c r="D33" s="1">
        <f t="shared" si="1"/>
        <v>0</v>
      </c>
      <c r="E33" s="2" t="str">
        <f t="shared" si="2"/>
        <v>JOHNSON</v>
      </c>
      <c r="G33" s="2">
        <v>32</v>
      </c>
      <c r="H33" s="2" t="s">
        <v>5</v>
      </c>
      <c r="I33" s="2" t="s">
        <v>5</v>
      </c>
      <c r="J33" s="6">
        <v>0</v>
      </c>
      <c r="K33" s="4" t="s">
        <v>52</v>
      </c>
    </row>
    <row r="34" spans="1:11" ht="27" thickBot="1" x14ac:dyDescent="0.3">
      <c r="A34" s="1">
        <f t="shared" si="0"/>
        <v>33</v>
      </c>
      <c r="B34" s="2" t="str">
        <f t="shared" si="3"/>
        <v>0</v>
      </c>
      <c r="C34" s="2" t="str">
        <f t="shared" si="4"/>
        <v>0</v>
      </c>
      <c r="D34" s="1">
        <f t="shared" si="1"/>
        <v>0</v>
      </c>
      <c r="E34" s="2" t="str">
        <f t="shared" si="2"/>
        <v>CYCLOPS</v>
      </c>
      <c r="G34" s="5">
        <v>33</v>
      </c>
      <c r="H34" s="2" t="s">
        <v>5</v>
      </c>
      <c r="I34" s="2" t="s">
        <v>5</v>
      </c>
      <c r="J34" s="6">
        <v>0</v>
      </c>
      <c r="K34" s="4" t="s">
        <v>53</v>
      </c>
    </row>
    <row r="35" spans="1:11" ht="15.75" thickBot="1" x14ac:dyDescent="0.3">
      <c r="A35" s="1">
        <f t="shared" si="0"/>
        <v>34</v>
      </c>
      <c r="B35" s="2" t="str">
        <f t="shared" si="3"/>
        <v>0</v>
      </c>
      <c r="C35" s="2" t="str">
        <f t="shared" si="4"/>
        <v>0</v>
      </c>
      <c r="D35" s="1">
        <f t="shared" si="1"/>
        <v>0</v>
      </c>
      <c r="E35" s="2" t="str">
        <f t="shared" si="2"/>
        <v>ESTES</v>
      </c>
      <c r="G35" s="2">
        <v>34</v>
      </c>
      <c r="H35" s="2" t="s">
        <v>5</v>
      </c>
      <c r="I35" s="2" t="s">
        <v>5</v>
      </c>
      <c r="J35" s="6">
        <v>0</v>
      </c>
      <c r="K35" s="4" t="s">
        <v>54</v>
      </c>
    </row>
    <row r="36" spans="1:11" ht="15.75" thickBot="1" x14ac:dyDescent="0.3">
      <c r="A36" s="1">
        <f t="shared" si="0"/>
        <v>35</v>
      </c>
      <c r="B36" s="2" t="str">
        <f t="shared" si="3"/>
        <v>0</v>
      </c>
      <c r="C36" s="2" t="str">
        <f t="shared" si="4"/>
        <v>0</v>
      </c>
      <c r="D36" s="1">
        <f t="shared" si="1"/>
        <v>0</v>
      </c>
      <c r="E36" s="2" t="str">
        <f t="shared" si="2"/>
        <v>HILDA</v>
      </c>
      <c r="G36" s="2">
        <v>35</v>
      </c>
      <c r="H36" s="2" t="s">
        <v>5</v>
      </c>
      <c r="I36" s="2" t="s">
        <v>5</v>
      </c>
      <c r="J36" s="6">
        <v>0</v>
      </c>
      <c r="K36" s="4" t="s">
        <v>55</v>
      </c>
    </row>
    <row r="37" spans="1:11" ht="15.75" thickBot="1" x14ac:dyDescent="0.3">
      <c r="A37" s="1">
        <f t="shared" si="0"/>
        <v>36</v>
      </c>
      <c r="B37" s="2" t="str">
        <f t="shared" si="3"/>
        <v>8</v>
      </c>
      <c r="C37" s="2" t="str">
        <f t="shared" si="4"/>
        <v>5</v>
      </c>
      <c r="D37" s="1">
        <f t="shared" si="1"/>
        <v>0.63</v>
      </c>
      <c r="E37" s="2" t="str">
        <f t="shared" si="2"/>
        <v>AURORA</v>
      </c>
      <c r="G37" s="5">
        <v>36</v>
      </c>
      <c r="H37" s="2" t="s">
        <v>56</v>
      </c>
      <c r="I37" s="2" t="s">
        <v>29</v>
      </c>
      <c r="J37" s="6">
        <v>0.63</v>
      </c>
      <c r="K37" s="4" t="s">
        <v>57</v>
      </c>
    </row>
    <row r="38" spans="1:11" ht="30.75" thickBot="1" x14ac:dyDescent="0.3">
      <c r="A38" s="1">
        <f t="shared" si="0"/>
        <v>37</v>
      </c>
      <c r="B38" s="2" t="str">
        <f t="shared" si="3"/>
        <v>0</v>
      </c>
      <c r="C38" s="2" t="str">
        <f t="shared" si="4"/>
        <v>0</v>
      </c>
      <c r="D38" s="1">
        <f t="shared" si="1"/>
        <v>0</v>
      </c>
      <c r="E38" s="2" t="str">
        <f t="shared" si="2"/>
        <v>LAPU-LAPU</v>
      </c>
      <c r="G38" s="2">
        <v>37</v>
      </c>
      <c r="H38" s="2" t="s">
        <v>5</v>
      </c>
      <c r="I38" s="2" t="s">
        <v>5</v>
      </c>
      <c r="J38" s="3">
        <v>0</v>
      </c>
      <c r="K38" s="4" t="s">
        <v>58</v>
      </c>
    </row>
    <row r="39" spans="1:11" ht="15.75" thickBot="1" x14ac:dyDescent="0.3">
      <c r="A39" s="1">
        <f t="shared" si="0"/>
        <v>38</v>
      </c>
      <c r="B39" s="2" t="str">
        <f t="shared" si="3"/>
        <v>9</v>
      </c>
      <c r="C39" s="2" t="str">
        <f t="shared" si="4"/>
        <v>9</v>
      </c>
      <c r="D39" s="1">
        <f t="shared" si="1"/>
        <v>0.56000000000000005</v>
      </c>
      <c r="E39" s="2" t="str">
        <f t="shared" si="2"/>
        <v>VEXANA</v>
      </c>
      <c r="G39" s="2">
        <v>38</v>
      </c>
      <c r="H39" s="2" t="s">
        <v>32</v>
      </c>
      <c r="I39" s="2" t="s">
        <v>32</v>
      </c>
      <c r="J39" s="6">
        <v>0.56000000000000005</v>
      </c>
      <c r="K39" s="4" t="s">
        <v>59</v>
      </c>
    </row>
    <row r="40" spans="1:11" ht="15.75" thickBot="1" x14ac:dyDescent="0.3">
      <c r="A40" s="1">
        <f t="shared" si="0"/>
        <v>39</v>
      </c>
      <c r="B40" s="2" t="str">
        <f t="shared" si="3"/>
        <v>29</v>
      </c>
      <c r="C40" s="2" t="str">
        <f t="shared" si="4"/>
        <v>0</v>
      </c>
      <c r="D40" s="1">
        <f t="shared" si="1"/>
        <v>0.45</v>
      </c>
      <c r="E40" s="2" t="str">
        <f t="shared" si="2"/>
        <v>ROGER</v>
      </c>
      <c r="G40" s="5">
        <v>39</v>
      </c>
      <c r="H40" s="2" t="s">
        <v>60</v>
      </c>
      <c r="I40" s="2" t="s">
        <v>5</v>
      </c>
      <c r="J40" s="6">
        <v>0.45</v>
      </c>
      <c r="K40" s="4" t="s">
        <v>61</v>
      </c>
    </row>
    <row r="41" spans="1:11" ht="15.75" thickBot="1" x14ac:dyDescent="0.3">
      <c r="A41" s="1">
        <f t="shared" si="0"/>
        <v>40</v>
      </c>
      <c r="B41" s="2" t="str">
        <f t="shared" si="3"/>
        <v>2</v>
      </c>
      <c r="C41" s="2" t="str">
        <f t="shared" si="4"/>
        <v>0</v>
      </c>
      <c r="D41" s="1">
        <f t="shared" si="1"/>
        <v>0</v>
      </c>
      <c r="E41" s="2" t="str">
        <f t="shared" si="2"/>
        <v>KARRIE</v>
      </c>
      <c r="G41" s="2">
        <v>40</v>
      </c>
      <c r="H41" s="2" t="s">
        <v>20</v>
      </c>
      <c r="I41" s="2" t="s">
        <v>5</v>
      </c>
      <c r="J41" s="6">
        <v>0</v>
      </c>
      <c r="K41" s="4" t="s">
        <v>62</v>
      </c>
    </row>
    <row r="42" spans="1:11" ht="30.75" thickBot="1" x14ac:dyDescent="0.3">
      <c r="A42" s="1">
        <f t="shared" si="0"/>
        <v>41</v>
      </c>
      <c r="B42" s="2" t="str">
        <f t="shared" si="3"/>
        <v>14</v>
      </c>
      <c r="C42" s="2" t="str">
        <f t="shared" si="4"/>
        <v>4</v>
      </c>
      <c r="D42" s="1">
        <f t="shared" si="1"/>
        <v>0.64</v>
      </c>
      <c r="E42" s="2" t="str">
        <f t="shared" si="2"/>
        <v>GATOTKACA</v>
      </c>
      <c r="G42" s="2">
        <v>41</v>
      </c>
      <c r="H42" s="2" t="s">
        <v>63</v>
      </c>
      <c r="I42" s="2" t="s">
        <v>9</v>
      </c>
      <c r="J42" s="6">
        <v>0.64</v>
      </c>
      <c r="K42" s="4" t="s">
        <v>64</v>
      </c>
    </row>
    <row r="43" spans="1:11" ht="15.75" thickBot="1" x14ac:dyDescent="0.3">
      <c r="A43" s="1">
        <f t="shared" si="0"/>
        <v>42</v>
      </c>
      <c r="B43" s="2" t="str">
        <f t="shared" si="3"/>
        <v>0</v>
      </c>
      <c r="C43" s="2" t="str">
        <f t="shared" si="4"/>
        <v>0</v>
      </c>
      <c r="D43" s="1">
        <f t="shared" si="1"/>
        <v>0</v>
      </c>
      <c r="E43" s="2" t="str">
        <f t="shared" si="2"/>
        <v>HARLEY</v>
      </c>
      <c r="G43" s="5">
        <v>42</v>
      </c>
      <c r="H43" s="2" t="s">
        <v>5</v>
      </c>
      <c r="I43" s="2" t="s">
        <v>5</v>
      </c>
      <c r="J43" s="3">
        <v>0</v>
      </c>
      <c r="K43" s="4" t="s">
        <v>65</v>
      </c>
    </row>
    <row r="44" spans="1:11" ht="15.75" thickBot="1" x14ac:dyDescent="0.3">
      <c r="A44" s="1">
        <f t="shared" si="0"/>
        <v>43</v>
      </c>
      <c r="B44" s="2" t="str">
        <f t="shared" si="3"/>
        <v>2</v>
      </c>
      <c r="C44" s="2" t="str">
        <f t="shared" si="4"/>
        <v>0</v>
      </c>
      <c r="D44" s="1">
        <f t="shared" si="1"/>
        <v>0.5</v>
      </c>
      <c r="E44" s="2" t="str">
        <f t="shared" si="2"/>
        <v>IRITHEL</v>
      </c>
      <c r="G44" s="2">
        <v>43</v>
      </c>
      <c r="H44" s="2" t="s">
        <v>20</v>
      </c>
      <c r="I44" s="2" t="s">
        <v>5</v>
      </c>
      <c r="J44" s="6">
        <v>0.5</v>
      </c>
      <c r="K44" s="4" t="s">
        <v>66</v>
      </c>
    </row>
    <row r="45" spans="1:11" ht="15.75" thickBot="1" x14ac:dyDescent="0.3">
      <c r="A45" s="1">
        <f t="shared" si="0"/>
        <v>44</v>
      </c>
      <c r="B45" s="2" t="str">
        <f t="shared" si="3"/>
        <v>6</v>
      </c>
      <c r="C45" s="2" t="str">
        <f t="shared" si="4"/>
        <v>4</v>
      </c>
      <c r="D45" s="1">
        <f t="shared" si="1"/>
        <v>0.33</v>
      </c>
      <c r="E45" s="2" t="str">
        <f t="shared" si="2"/>
        <v>GROCK</v>
      </c>
      <c r="G45" s="2">
        <v>44</v>
      </c>
      <c r="H45" s="2" t="s">
        <v>30</v>
      </c>
      <c r="I45" s="2" t="s">
        <v>9</v>
      </c>
      <c r="J45" s="6">
        <v>0.33</v>
      </c>
      <c r="K45" s="4" t="s">
        <v>67</v>
      </c>
    </row>
    <row r="46" spans="1:11" ht="15.75" thickBot="1" x14ac:dyDescent="0.3">
      <c r="A46" s="1">
        <f t="shared" si="0"/>
        <v>45</v>
      </c>
      <c r="B46" s="2" t="str">
        <f t="shared" si="3"/>
        <v>0</v>
      </c>
      <c r="C46" s="2" t="str">
        <f t="shared" si="4"/>
        <v>0</v>
      </c>
      <c r="D46" s="1">
        <f t="shared" si="1"/>
        <v>0</v>
      </c>
      <c r="E46" s="2" t="str">
        <f t="shared" si="2"/>
        <v>ARGUS</v>
      </c>
      <c r="G46" s="5">
        <v>45</v>
      </c>
      <c r="H46" s="2" t="s">
        <v>5</v>
      </c>
      <c r="I46" s="2" t="s">
        <v>5</v>
      </c>
      <c r="J46" s="3">
        <v>0</v>
      </c>
      <c r="K46" s="4" t="s">
        <v>68</v>
      </c>
    </row>
    <row r="47" spans="1:11" ht="15.75" thickBot="1" x14ac:dyDescent="0.3">
      <c r="A47" s="1">
        <f t="shared" si="0"/>
        <v>46</v>
      </c>
      <c r="B47" s="2" t="str">
        <f t="shared" si="3"/>
        <v>0</v>
      </c>
      <c r="C47" s="2" t="str">
        <f t="shared" si="4"/>
        <v>0</v>
      </c>
      <c r="D47" s="1">
        <f t="shared" si="1"/>
        <v>0</v>
      </c>
      <c r="E47" s="2" t="str">
        <f t="shared" si="2"/>
        <v>ODETTE</v>
      </c>
      <c r="G47" s="2">
        <v>46</v>
      </c>
      <c r="H47" s="2" t="s">
        <v>5</v>
      </c>
      <c r="I47" s="2" t="s">
        <v>5</v>
      </c>
      <c r="J47" s="3">
        <v>0</v>
      </c>
      <c r="K47" s="4" t="s">
        <v>69</v>
      </c>
    </row>
    <row r="48" spans="1:11" ht="30.75" thickBot="1" x14ac:dyDescent="0.3">
      <c r="A48" s="1">
        <f t="shared" si="0"/>
        <v>47</v>
      </c>
      <c r="B48" s="2" t="str">
        <f t="shared" si="3"/>
        <v>2</v>
      </c>
      <c r="C48" s="2" t="str">
        <f t="shared" si="4"/>
        <v>2</v>
      </c>
      <c r="D48" s="1">
        <f t="shared" si="1"/>
        <v>0.5</v>
      </c>
      <c r="E48" s="2" t="str">
        <f t="shared" si="2"/>
        <v>LANCELOT</v>
      </c>
      <c r="G48" s="2">
        <v>47</v>
      </c>
      <c r="H48" s="2" t="s">
        <v>20</v>
      </c>
      <c r="I48" s="2" t="s">
        <v>20</v>
      </c>
      <c r="J48" s="6">
        <v>0.5</v>
      </c>
      <c r="K48" s="4" t="s">
        <v>70</v>
      </c>
    </row>
    <row r="49" spans="1:11" ht="15.75" thickBot="1" x14ac:dyDescent="0.3">
      <c r="A49" s="1">
        <f t="shared" si="0"/>
        <v>48</v>
      </c>
      <c r="B49" s="2" t="str">
        <f t="shared" si="3"/>
        <v>0</v>
      </c>
      <c r="C49" s="2" t="str">
        <f t="shared" si="4"/>
        <v>0</v>
      </c>
      <c r="D49" s="1">
        <f t="shared" si="1"/>
        <v>0</v>
      </c>
      <c r="E49" s="2" t="str">
        <f t="shared" si="2"/>
        <v>DIGGIE</v>
      </c>
      <c r="G49" s="5">
        <v>48</v>
      </c>
      <c r="H49" s="2" t="s">
        <v>5</v>
      </c>
      <c r="I49" s="2" t="s">
        <v>5</v>
      </c>
      <c r="J49" s="3">
        <v>0</v>
      </c>
      <c r="K49" s="4" t="s">
        <v>71</v>
      </c>
    </row>
    <row r="50" spans="1:11" ht="15.75" thickBot="1" x14ac:dyDescent="0.3">
      <c r="A50" s="1">
        <f t="shared" si="0"/>
        <v>49</v>
      </c>
      <c r="B50" s="2" t="str">
        <f t="shared" si="3"/>
        <v>12</v>
      </c>
      <c r="C50" s="2" t="str">
        <f t="shared" si="4"/>
        <v>29</v>
      </c>
      <c r="D50" s="1">
        <f t="shared" si="1"/>
        <v>0.57999999999999996</v>
      </c>
      <c r="E50" s="2" t="str">
        <f t="shared" si="2"/>
        <v>HYLOS</v>
      </c>
      <c r="G50" s="2">
        <v>49</v>
      </c>
      <c r="H50" s="2" t="s">
        <v>34</v>
      </c>
      <c r="I50" s="2" t="s">
        <v>60</v>
      </c>
      <c r="J50" s="6">
        <v>0.57999999999999996</v>
      </c>
      <c r="K50" s="4" t="s">
        <v>72</v>
      </c>
    </row>
    <row r="51" spans="1:11" ht="15.75" thickBot="1" x14ac:dyDescent="0.3">
      <c r="A51" s="1">
        <f t="shared" si="0"/>
        <v>50</v>
      </c>
      <c r="B51" s="2" t="str">
        <f t="shared" si="3"/>
        <v>20</v>
      </c>
      <c r="C51" s="2" t="str">
        <f t="shared" si="4"/>
        <v>13</v>
      </c>
      <c r="D51" s="1">
        <f t="shared" si="1"/>
        <v>0.65</v>
      </c>
      <c r="E51" s="2" t="str">
        <f t="shared" si="2"/>
        <v>ZHASK</v>
      </c>
      <c r="G51" s="2">
        <v>50</v>
      </c>
      <c r="H51" s="2" t="s">
        <v>73</v>
      </c>
      <c r="I51" s="2" t="s">
        <v>74</v>
      </c>
      <c r="J51" s="6">
        <v>0.65</v>
      </c>
      <c r="K51" s="4" t="s">
        <v>75</v>
      </c>
    </row>
    <row r="52" spans="1:11" ht="27" thickBot="1" x14ac:dyDescent="0.3">
      <c r="A52" s="1">
        <f t="shared" si="0"/>
        <v>51</v>
      </c>
      <c r="B52" s="2" t="str">
        <f t="shared" si="3"/>
        <v>0</v>
      </c>
      <c r="C52" s="2" t="str">
        <f t="shared" si="4"/>
        <v>0</v>
      </c>
      <c r="D52" s="1">
        <f t="shared" si="1"/>
        <v>0</v>
      </c>
      <c r="E52" s="2" t="str">
        <f t="shared" si="2"/>
        <v>HELCURT</v>
      </c>
      <c r="G52" s="5">
        <v>51</v>
      </c>
      <c r="H52" s="2" t="s">
        <v>5</v>
      </c>
      <c r="I52" s="2" t="s">
        <v>5</v>
      </c>
      <c r="J52" s="3">
        <v>0</v>
      </c>
      <c r="K52" s="4" t="s">
        <v>76</v>
      </c>
    </row>
    <row r="53" spans="1:11" ht="15.75" thickBot="1" x14ac:dyDescent="0.3">
      <c r="A53" s="1">
        <f t="shared" si="0"/>
        <v>52</v>
      </c>
      <c r="B53" s="2" t="str">
        <f t="shared" si="3"/>
        <v>0</v>
      </c>
      <c r="C53" s="2" t="str">
        <f t="shared" si="4"/>
        <v>0</v>
      </c>
      <c r="D53" s="1">
        <f t="shared" si="1"/>
        <v>0</v>
      </c>
      <c r="E53" s="2" t="str">
        <f t="shared" si="2"/>
        <v>PHARSA</v>
      </c>
      <c r="G53" s="2">
        <v>52</v>
      </c>
      <c r="H53" s="2" t="s">
        <v>5</v>
      </c>
      <c r="I53" s="2" t="s">
        <v>5</v>
      </c>
      <c r="J53" s="3">
        <v>0</v>
      </c>
      <c r="K53" s="4" t="s">
        <v>77</v>
      </c>
    </row>
    <row r="54" spans="1:11" ht="15.75" thickBot="1" x14ac:dyDescent="0.3">
      <c r="A54" s="1">
        <f t="shared" si="0"/>
        <v>53</v>
      </c>
      <c r="B54" s="2" t="str">
        <f t="shared" si="3"/>
        <v>0</v>
      </c>
      <c r="C54" s="2" t="str">
        <f t="shared" si="4"/>
        <v>0</v>
      </c>
      <c r="D54" s="1">
        <f t="shared" si="1"/>
        <v>0</v>
      </c>
      <c r="E54" s="2" t="str">
        <f t="shared" si="2"/>
        <v>LESLEY</v>
      </c>
      <c r="G54" s="2">
        <v>53</v>
      </c>
      <c r="H54" s="2" t="s">
        <v>5</v>
      </c>
      <c r="I54" s="2" t="s">
        <v>5</v>
      </c>
      <c r="J54" s="3">
        <v>0</v>
      </c>
      <c r="K54" s="4" t="s">
        <v>78</v>
      </c>
    </row>
    <row r="55" spans="1:11" ht="30.75" thickBot="1" x14ac:dyDescent="0.3">
      <c r="A55" s="1">
        <f t="shared" si="0"/>
        <v>54</v>
      </c>
      <c r="B55" s="2" t="str">
        <f t="shared" si="3"/>
        <v>5</v>
      </c>
      <c r="C55" s="2" t="str">
        <f t="shared" si="4"/>
        <v>4</v>
      </c>
      <c r="D55" s="1">
        <f t="shared" si="1"/>
        <v>0.6</v>
      </c>
      <c r="E55" s="2" t="str">
        <f t="shared" si="2"/>
        <v>JAWHEAD</v>
      </c>
      <c r="G55" s="5">
        <v>54</v>
      </c>
      <c r="H55" s="2" t="s">
        <v>29</v>
      </c>
      <c r="I55" s="2" t="s">
        <v>9</v>
      </c>
      <c r="J55" s="6">
        <v>0.6</v>
      </c>
      <c r="K55" s="4" t="s">
        <v>79</v>
      </c>
    </row>
    <row r="56" spans="1:11" ht="15.75" thickBot="1" x14ac:dyDescent="0.3">
      <c r="A56" s="1">
        <f t="shared" si="0"/>
        <v>55</v>
      </c>
      <c r="B56" s="2" t="str">
        <f t="shared" si="3"/>
        <v>5</v>
      </c>
      <c r="C56" s="2" t="str">
        <f t="shared" si="4"/>
        <v>7</v>
      </c>
      <c r="D56" s="1">
        <f t="shared" si="1"/>
        <v>0.6</v>
      </c>
      <c r="E56" s="2" t="str">
        <f t="shared" si="2"/>
        <v>ANGELA</v>
      </c>
      <c r="G56" s="2">
        <v>55</v>
      </c>
      <c r="H56" s="2" t="s">
        <v>29</v>
      </c>
      <c r="I56" s="2" t="s">
        <v>44</v>
      </c>
      <c r="J56" s="6">
        <v>0.6</v>
      </c>
      <c r="K56" s="4" t="s">
        <v>80</v>
      </c>
    </row>
    <row r="57" spans="1:11" ht="15.75" thickBot="1" x14ac:dyDescent="0.3">
      <c r="A57" s="1">
        <f t="shared" si="0"/>
        <v>56</v>
      </c>
      <c r="B57" s="2" t="str">
        <f t="shared" si="3"/>
        <v>0</v>
      </c>
      <c r="C57" s="2" t="str">
        <f t="shared" si="4"/>
        <v>0</v>
      </c>
      <c r="D57" s="1">
        <f t="shared" si="1"/>
        <v>0</v>
      </c>
      <c r="E57" s="2" t="str">
        <f t="shared" si="2"/>
        <v>GUSION</v>
      </c>
      <c r="G57" s="2">
        <v>56</v>
      </c>
      <c r="H57" s="2" t="s">
        <v>5</v>
      </c>
      <c r="I57" s="2" t="s">
        <v>5</v>
      </c>
      <c r="J57" s="3">
        <v>0</v>
      </c>
      <c r="K57" s="4" t="s">
        <v>81</v>
      </c>
    </row>
    <row r="58" spans="1:11" ht="15.75" thickBot="1" x14ac:dyDescent="0.3">
      <c r="A58" s="1">
        <f t="shared" si="0"/>
        <v>57</v>
      </c>
      <c r="B58" s="2" t="str">
        <f t="shared" si="3"/>
        <v>0</v>
      </c>
      <c r="C58" s="2" t="str">
        <f t="shared" si="4"/>
        <v>0</v>
      </c>
      <c r="D58" s="1">
        <f t="shared" si="1"/>
        <v>0</v>
      </c>
      <c r="E58" s="2" t="str">
        <f t="shared" si="2"/>
        <v>VALIR</v>
      </c>
      <c r="G58" s="5">
        <v>57</v>
      </c>
      <c r="H58" s="2" t="s">
        <v>5</v>
      </c>
      <c r="I58" s="2" t="s">
        <v>5</v>
      </c>
      <c r="J58" s="3">
        <v>0</v>
      </c>
      <c r="K58" s="4" t="s">
        <v>82</v>
      </c>
    </row>
    <row r="59" spans="1:11" ht="15.75" thickBot="1" x14ac:dyDescent="0.3">
      <c r="A59" s="1">
        <f t="shared" si="0"/>
        <v>58</v>
      </c>
      <c r="B59" s="2" t="str">
        <f t="shared" si="3"/>
        <v>0</v>
      </c>
      <c r="C59" s="2" t="str">
        <f t="shared" si="4"/>
        <v>0</v>
      </c>
      <c r="D59" s="1">
        <f t="shared" si="1"/>
        <v>0</v>
      </c>
      <c r="E59" s="2" t="str">
        <f t="shared" si="2"/>
        <v>MARTIS</v>
      </c>
      <c r="G59" s="2">
        <v>58</v>
      </c>
      <c r="H59" s="2" t="s">
        <v>5</v>
      </c>
      <c r="I59" s="2" t="s">
        <v>5</v>
      </c>
      <c r="J59" s="3">
        <v>0</v>
      </c>
      <c r="K59" s="4" t="s">
        <v>83</v>
      </c>
    </row>
    <row r="60" spans="1:11" ht="15.75" thickBot="1" x14ac:dyDescent="0.3">
      <c r="A60" s="1">
        <f t="shared" si="0"/>
        <v>59</v>
      </c>
      <c r="B60" s="2" t="str">
        <f t="shared" si="3"/>
        <v>0</v>
      </c>
      <c r="C60" s="2" t="str">
        <f t="shared" si="4"/>
        <v>0</v>
      </c>
      <c r="D60" s="1">
        <f t="shared" si="1"/>
        <v>0</v>
      </c>
      <c r="E60" s="2" t="str">
        <f t="shared" si="2"/>
        <v>URANUS</v>
      </c>
      <c r="G60" s="2">
        <v>59</v>
      </c>
      <c r="H60" s="2" t="s">
        <v>5</v>
      </c>
      <c r="I60" s="2" t="s">
        <v>5</v>
      </c>
      <c r="J60" s="3">
        <v>0</v>
      </c>
      <c r="K60" s="4" t="s">
        <v>84</v>
      </c>
    </row>
    <row r="61" spans="1:11" ht="15.75" thickBot="1" x14ac:dyDescent="0.3">
      <c r="A61" s="1">
        <f t="shared" si="0"/>
        <v>60</v>
      </c>
      <c r="B61" s="2" t="str">
        <f t="shared" si="3"/>
        <v>2</v>
      </c>
      <c r="C61" s="2" t="str">
        <f t="shared" si="4"/>
        <v>3</v>
      </c>
      <c r="D61" s="1">
        <f t="shared" si="1"/>
        <v>0</v>
      </c>
      <c r="E61" s="2" t="str">
        <f t="shared" si="2"/>
        <v>HANABI</v>
      </c>
      <c r="G61" s="5">
        <v>60</v>
      </c>
      <c r="H61" s="2" t="s">
        <v>20</v>
      </c>
      <c r="I61" s="2" t="s">
        <v>10</v>
      </c>
      <c r="J61" s="3">
        <v>0</v>
      </c>
      <c r="K61" s="4" t="s">
        <v>85</v>
      </c>
    </row>
    <row r="62" spans="1:11" ht="15.75" thickBot="1" x14ac:dyDescent="0.3">
      <c r="A62" s="1">
        <f t="shared" si="0"/>
        <v>61</v>
      </c>
      <c r="B62" s="2" t="str">
        <f t="shared" si="3"/>
        <v>0</v>
      </c>
      <c r="C62" s="2" t="str">
        <f t="shared" si="4"/>
        <v>0</v>
      </c>
      <c r="D62" s="1">
        <f t="shared" si="1"/>
        <v>0</v>
      </c>
      <c r="E62" s="2" t="str">
        <f t="shared" si="2"/>
        <v>CHANG'E</v>
      </c>
      <c r="G62" s="2">
        <v>61</v>
      </c>
      <c r="H62" s="2" t="s">
        <v>5</v>
      </c>
      <c r="I62" s="2" t="s">
        <v>5</v>
      </c>
      <c r="J62" s="3">
        <v>0</v>
      </c>
      <c r="K62" s="4" t="s">
        <v>86</v>
      </c>
    </row>
    <row r="63" spans="1:11" ht="15.75" thickBot="1" x14ac:dyDescent="0.3">
      <c r="A63" s="1">
        <f t="shared" si="0"/>
        <v>62</v>
      </c>
      <c r="B63" s="2" t="str">
        <f t="shared" si="3"/>
        <v>0</v>
      </c>
      <c r="C63" s="2" t="str">
        <f t="shared" si="4"/>
        <v>0</v>
      </c>
      <c r="D63" s="1">
        <f t="shared" si="1"/>
        <v>0</v>
      </c>
      <c r="E63" s="2" t="str">
        <f t="shared" si="2"/>
        <v>KAJA</v>
      </c>
      <c r="G63" s="2">
        <v>62</v>
      </c>
      <c r="H63" s="2" t="s">
        <v>5</v>
      </c>
      <c r="I63" s="2" t="s">
        <v>5</v>
      </c>
      <c r="J63" s="3">
        <v>0</v>
      </c>
      <c r="K63" s="4" t="s">
        <v>87</v>
      </c>
    </row>
    <row r="64" spans="1:11" ht="15.75" thickBot="1" x14ac:dyDescent="0.3">
      <c r="A64" s="1">
        <f t="shared" si="0"/>
        <v>63</v>
      </c>
      <c r="B64" s="2" t="str">
        <f t="shared" si="3"/>
        <v>0</v>
      </c>
      <c r="C64" s="2" t="str">
        <f t="shared" si="4"/>
        <v>0</v>
      </c>
      <c r="D64" s="1">
        <f t="shared" si="1"/>
        <v>0</v>
      </c>
      <c r="E64" s="2" t="str">
        <f t="shared" si="2"/>
        <v>SELENA</v>
      </c>
      <c r="G64" s="5">
        <v>63</v>
      </c>
      <c r="H64" s="2" t="s">
        <v>5</v>
      </c>
      <c r="I64" s="2" t="s">
        <v>5</v>
      </c>
      <c r="J64" s="3">
        <v>0</v>
      </c>
      <c r="K64" s="4" t="s">
        <v>88</v>
      </c>
    </row>
    <row r="65" spans="1:11" ht="15.75" thickBot="1" x14ac:dyDescent="0.3">
      <c r="A65" s="1">
        <f t="shared" si="0"/>
        <v>64</v>
      </c>
      <c r="B65" s="2" t="str">
        <f t="shared" si="3"/>
        <v>0</v>
      </c>
      <c r="C65" s="2" t="str">
        <f t="shared" si="4"/>
        <v>0</v>
      </c>
      <c r="D65" s="1">
        <f t="shared" si="1"/>
        <v>0</v>
      </c>
      <c r="E65" s="2" t="str">
        <f t="shared" si="2"/>
        <v>ALDOUS</v>
      </c>
      <c r="G65" s="2">
        <v>64</v>
      </c>
      <c r="H65" s="2" t="s">
        <v>5</v>
      </c>
      <c r="I65" s="2" t="s">
        <v>5</v>
      </c>
      <c r="J65" s="3">
        <v>0</v>
      </c>
      <c r="K65" s="4" t="s">
        <v>89</v>
      </c>
    </row>
    <row r="66" spans="1:11" ht="15.75" thickBot="1" x14ac:dyDescent="0.3">
      <c r="A66" s="1">
        <f t="shared" ref="A66:A126" si="5">G66</f>
        <v>65</v>
      </c>
      <c r="B66" s="2" t="str">
        <f t="shared" si="3"/>
        <v>7</v>
      </c>
      <c r="C66" s="2" t="str">
        <f t="shared" si="4"/>
        <v>2</v>
      </c>
      <c r="D66" s="1">
        <f t="shared" ref="D66:D126" si="6">J66</f>
        <v>0.43</v>
      </c>
      <c r="E66" s="2" t="str">
        <f t="shared" ref="E66:E126" si="7">K66</f>
        <v>CLAUDE</v>
      </c>
      <c r="G66" s="2">
        <v>65</v>
      </c>
      <c r="H66" s="2" t="s">
        <v>44</v>
      </c>
      <c r="I66" s="2" t="s">
        <v>20</v>
      </c>
      <c r="J66" s="6">
        <v>0.43</v>
      </c>
      <c r="K66" s="4" t="s">
        <v>90</v>
      </c>
    </row>
    <row r="67" spans="1:11" ht="15.75" thickBot="1" x14ac:dyDescent="0.3">
      <c r="A67" s="1">
        <f t="shared" si="5"/>
        <v>66</v>
      </c>
      <c r="B67" s="2" t="str">
        <f t="shared" ref="B67:B126" si="8">LEFT(H67, FIND("x", H67)-1)</f>
        <v>0</v>
      </c>
      <c r="C67" s="2" t="str">
        <f t="shared" ref="C67:C126" si="9">LEFT(I67, FIND("x", I67)-1)</f>
        <v>0</v>
      </c>
      <c r="D67" s="1">
        <f t="shared" si="6"/>
        <v>0</v>
      </c>
      <c r="E67" s="2" t="str">
        <f t="shared" si="7"/>
        <v>VALE</v>
      </c>
      <c r="G67" s="5">
        <v>66</v>
      </c>
      <c r="H67" s="2" t="s">
        <v>5</v>
      </c>
      <c r="I67" s="2" t="s">
        <v>5</v>
      </c>
      <c r="J67" s="3">
        <v>0</v>
      </c>
      <c r="K67" s="4" t="s">
        <v>91</v>
      </c>
    </row>
    <row r="68" spans="1:11" ht="30.75" thickBot="1" x14ac:dyDescent="0.3">
      <c r="A68" s="1">
        <f t="shared" si="5"/>
        <v>67</v>
      </c>
      <c r="B68" s="2" t="str">
        <f t="shared" si="8"/>
        <v>0</v>
      </c>
      <c r="C68" s="2" t="str">
        <f t="shared" si="9"/>
        <v>0</v>
      </c>
      <c r="D68" s="1">
        <f t="shared" si="6"/>
        <v>0</v>
      </c>
      <c r="E68" s="2" t="str">
        <f t="shared" si="7"/>
        <v>LEOMORD</v>
      </c>
      <c r="G68" s="2">
        <v>67</v>
      </c>
      <c r="H68" s="2" t="s">
        <v>5</v>
      </c>
      <c r="I68" s="2" t="s">
        <v>5</v>
      </c>
      <c r="J68" s="3">
        <v>0</v>
      </c>
      <c r="K68" s="4" t="s">
        <v>92</v>
      </c>
    </row>
    <row r="69" spans="1:11" ht="15.75" thickBot="1" x14ac:dyDescent="0.3">
      <c r="A69" s="1">
        <f t="shared" si="5"/>
        <v>68</v>
      </c>
      <c r="B69" s="2" t="str">
        <f t="shared" si="8"/>
        <v>7</v>
      </c>
      <c r="C69" s="2" t="str">
        <f t="shared" si="9"/>
        <v>10</v>
      </c>
      <c r="D69" s="1">
        <f t="shared" si="6"/>
        <v>0.86</v>
      </c>
      <c r="E69" s="2" t="str">
        <f t="shared" si="7"/>
        <v>LUNOX</v>
      </c>
      <c r="G69" s="2">
        <v>68</v>
      </c>
      <c r="H69" s="2" t="s">
        <v>44</v>
      </c>
      <c r="I69" s="2" t="s">
        <v>41</v>
      </c>
      <c r="J69" s="6">
        <v>0.86</v>
      </c>
      <c r="K69" s="4" t="s">
        <v>93</v>
      </c>
    </row>
    <row r="70" spans="1:11" ht="15.75" thickBot="1" x14ac:dyDescent="0.3">
      <c r="A70" s="1">
        <f t="shared" si="5"/>
        <v>69</v>
      </c>
      <c r="B70" s="2" t="str">
        <f t="shared" si="8"/>
        <v>2</v>
      </c>
      <c r="C70" s="2" t="str">
        <f t="shared" si="9"/>
        <v>4</v>
      </c>
      <c r="D70" s="1">
        <f t="shared" si="6"/>
        <v>0.5</v>
      </c>
      <c r="E70" s="2" t="str">
        <f t="shared" si="7"/>
        <v>HANZO</v>
      </c>
      <c r="G70" s="5">
        <v>69</v>
      </c>
      <c r="H70" s="2" t="s">
        <v>20</v>
      </c>
      <c r="I70" s="2" t="s">
        <v>9</v>
      </c>
      <c r="J70" s="6">
        <v>0.5</v>
      </c>
      <c r="K70" s="4" t="s">
        <v>94</v>
      </c>
    </row>
    <row r="71" spans="1:11" ht="27" thickBot="1" x14ac:dyDescent="0.3">
      <c r="A71" s="1">
        <f t="shared" si="5"/>
        <v>70</v>
      </c>
      <c r="B71" s="2" t="str">
        <f t="shared" si="8"/>
        <v>2</v>
      </c>
      <c r="C71" s="2" t="str">
        <f t="shared" si="9"/>
        <v>0</v>
      </c>
      <c r="D71" s="1">
        <f t="shared" si="6"/>
        <v>0.5</v>
      </c>
      <c r="E71" s="2" t="str">
        <f t="shared" si="7"/>
        <v>BELERICK</v>
      </c>
      <c r="G71" s="2">
        <v>70</v>
      </c>
      <c r="H71" s="2" t="s">
        <v>20</v>
      </c>
      <c r="I71" s="2" t="s">
        <v>5</v>
      </c>
      <c r="J71" s="6">
        <v>0.5</v>
      </c>
      <c r="K71" s="4" t="s">
        <v>95</v>
      </c>
    </row>
    <row r="72" spans="1:11" ht="15.75" thickBot="1" x14ac:dyDescent="0.3">
      <c r="A72" s="1">
        <f t="shared" si="5"/>
        <v>71</v>
      </c>
      <c r="B72" s="2" t="str">
        <f t="shared" si="8"/>
        <v>0</v>
      </c>
      <c r="C72" s="2" t="str">
        <f t="shared" si="9"/>
        <v>0</v>
      </c>
      <c r="D72" s="1">
        <f t="shared" si="6"/>
        <v>0</v>
      </c>
      <c r="E72" s="2" t="str">
        <f t="shared" si="7"/>
        <v>KIMMY</v>
      </c>
      <c r="G72" s="2">
        <v>71</v>
      </c>
      <c r="H72" s="2" t="s">
        <v>5</v>
      </c>
      <c r="I72" s="2" t="s">
        <v>5</v>
      </c>
      <c r="J72" s="3">
        <v>0</v>
      </c>
      <c r="K72" s="4" t="s">
        <v>96</v>
      </c>
    </row>
    <row r="73" spans="1:11" ht="15.75" thickBot="1" x14ac:dyDescent="0.3">
      <c r="A73" s="1">
        <f t="shared" si="5"/>
        <v>72</v>
      </c>
      <c r="B73" s="2" t="str">
        <f t="shared" si="8"/>
        <v>0</v>
      </c>
      <c r="C73" s="2" t="str">
        <f t="shared" si="9"/>
        <v>0</v>
      </c>
      <c r="D73" s="1">
        <f t="shared" si="6"/>
        <v>0</v>
      </c>
      <c r="E73" s="2" t="str">
        <f t="shared" si="7"/>
        <v>THAMUZ</v>
      </c>
      <c r="G73" s="2">
        <v>72</v>
      </c>
      <c r="H73" s="2" t="s">
        <v>5</v>
      </c>
      <c r="I73" s="2" t="s">
        <v>5</v>
      </c>
      <c r="J73" s="3">
        <v>0</v>
      </c>
      <c r="K73" s="4" t="s">
        <v>97</v>
      </c>
    </row>
    <row r="74" spans="1:11" ht="15.75" thickBot="1" x14ac:dyDescent="0.3">
      <c r="A74" s="1">
        <f t="shared" si="5"/>
        <v>73</v>
      </c>
      <c r="B74" s="2" t="str">
        <f t="shared" si="8"/>
        <v>25</v>
      </c>
      <c r="C74" s="2" t="str">
        <f t="shared" si="9"/>
        <v>18</v>
      </c>
      <c r="D74" s="1">
        <f t="shared" si="6"/>
        <v>0.64</v>
      </c>
      <c r="E74" s="2" t="str">
        <f t="shared" si="7"/>
        <v>HARITH</v>
      </c>
      <c r="G74" s="2">
        <v>73</v>
      </c>
      <c r="H74" s="2" t="s">
        <v>50</v>
      </c>
      <c r="I74" s="2" t="s">
        <v>98</v>
      </c>
      <c r="J74" s="6">
        <v>0.64</v>
      </c>
      <c r="K74" s="4" t="s">
        <v>99</v>
      </c>
    </row>
    <row r="75" spans="1:11" ht="30.75" thickBot="1" x14ac:dyDescent="0.3">
      <c r="A75" s="1">
        <f t="shared" si="5"/>
        <v>74</v>
      </c>
      <c r="B75" s="2" t="str">
        <f t="shared" si="8"/>
        <v>0</v>
      </c>
      <c r="C75" s="2" t="str">
        <f t="shared" si="9"/>
        <v>0</v>
      </c>
      <c r="D75" s="1">
        <f t="shared" si="6"/>
        <v>0</v>
      </c>
      <c r="E75" s="2" t="str">
        <f t="shared" si="7"/>
        <v>MINSITTHAR</v>
      </c>
      <c r="G75" s="5">
        <v>74</v>
      </c>
      <c r="H75" s="2" t="s">
        <v>5</v>
      </c>
      <c r="I75" s="2" t="s">
        <v>5</v>
      </c>
      <c r="J75" s="3">
        <v>0</v>
      </c>
      <c r="K75" s="4" t="s">
        <v>100</v>
      </c>
    </row>
    <row r="76" spans="1:11" ht="15.75" thickBot="1" x14ac:dyDescent="0.3">
      <c r="A76" s="1">
        <f t="shared" si="5"/>
        <v>75</v>
      </c>
      <c r="B76" s="2" t="str">
        <f t="shared" si="8"/>
        <v>0</v>
      </c>
      <c r="C76" s="2" t="str">
        <f t="shared" si="9"/>
        <v>0</v>
      </c>
      <c r="D76" s="1">
        <f t="shared" si="6"/>
        <v>0</v>
      </c>
      <c r="E76" s="2" t="str">
        <f t="shared" si="7"/>
        <v>KADITA</v>
      </c>
      <c r="G76" s="2">
        <v>75</v>
      </c>
      <c r="H76" s="2" t="s">
        <v>5</v>
      </c>
      <c r="I76" s="2" t="s">
        <v>5</v>
      </c>
      <c r="J76" s="6">
        <v>0</v>
      </c>
      <c r="K76" s="4" t="s">
        <v>101</v>
      </c>
    </row>
    <row r="77" spans="1:11" ht="27" thickBot="1" x14ac:dyDescent="0.3">
      <c r="A77" s="1">
        <f t="shared" si="5"/>
        <v>76</v>
      </c>
      <c r="B77" s="2" t="str">
        <f t="shared" si="8"/>
        <v>7</v>
      </c>
      <c r="C77" s="2" t="str">
        <f t="shared" si="9"/>
        <v>11</v>
      </c>
      <c r="D77" s="1">
        <f t="shared" si="6"/>
        <v>0.71</v>
      </c>
      <c r="E77" s="2" t="str">
        <f t="shared" si="7"/>
        <v>FARAMIS</v>
      </c>
      <c r="G77" s="2">
        <v>76</v>
      </c>
      <c r="H77" s="2" t="s">
        <v>44</v>
      </c>
      <c r="I77" s="2" t="s">
        <v>13</v>
      </c>
      <c r="J77" s="6">
        <v>0.71</v>
      </c>
      <c r="K77" s="4" t="s">
        <v>102</v>
      </c>
    </row>
    <row r="78" spans="1:11" ht="15.75" thickBot="1" x14ac:dyDescent="0.3">
      <c r="A78" s="1">
        <f t="shared" si="5"/>
        <v>77</v>
      </c>
      <c r="B78" s="2" t="str">
        <f t="shared" si="8"/>
        <v>0</v>
      </c>
      <c r="C78" s="2" t="str">
        <f t="shared" si="9"/>
        <v>0</v>
      </c>
      <c r="D78" s="1">
        <f t="shared" si="6"/>
        <v>0</v>
      </c>
      <c r="E78" s="2" t="str">
        <f t="shared" si="7"/>
        <v>BADANG</v>
      </c>
      <c r="G78" s="5">
        <v>77</v>
      </c>
      <c r="H78" s="2" t="s">
        <v>5</v>
      </c>
      <c r="I78" s="2" t="s">
        <v>5</v>
      </c>
      <c r="J78" s="3">
        <v>0</v>
      </c>
      <c r="K78" s="4" t="s">
        <v>103</v>
      </c>
    </row>
    <row r="79" spans="1:11" ht="15.75" thickBot="1" x14ac:dyDescent="0.3">
      <c r="A79" s="1">
        <f t="shared" si="5"/>
        <v>78</v>
      </c>
      <c r="B79" s="2" t="str">
        <f t="shared" si="8"/>
        <v>5</v>
      </c>
      <c r="C79" s="2" t="str">
        <f t="shared" si="9"/>
        <v>6</v>
      </c>
      <c r="D79" s="1">
        <f t="shared" si="6"/>
        <v>0.6</v>
      </c>
      <c r="E79" s="2" t="str">
        <f t="shared" si="7"/>
        <v>KHUFRA</v>
      </c>
      <c r="G79" s="2">
        <v>78</v>
      </c>
      <c r="H79" s="2" t="s">
        <v>29</v>
      </c>
      <c r="I79" s="2" t="s">
        <v>30</v>
      </c>
      <c r="J79" s="6">
        <v>0.6</v>
      </c>
      <c r="K79" s="4" t="s">
        <v>104</v>
      </c>
    </row>
    <row r="80" spans="1:11" ht="30.75" thickBot="1" x14ac:dyDescent="0.3">
      <c r="A80" s="1">
        <f t="shared" si="5"/>
        <v>79</v>
      </c>
      <c r="B80" s="2" t="str">
        <f t="shared" si="8"/>
        <v>0</v>
      </c>
      <c r="C80" s="2" t="str">
        <f t="shared" si="9"/>
        <v>0</v>
      </c>
      <c r="D80" s="1">
        <f t="shared" si="6"/>
        <v>0</v>
      </c>
      <c r="E80" s="2" t="str">
        <f t="shared" si="7"/>
        <v>GRANGER</v>
      </c>
      <c r="G80" s="2">
        <v>79</v>
      </c>
      <c r="H80" s="2" t="s">
        <v>5</v>
      </c>
      <c r="I80" s="2" t="s">
        <v>5</v>
      </c>
      <c r="J80" s="3">
        <v>0</v>
      </c>
      <c r="K80" s="4" t="s">
        <v>105</v>
      </c>
    </row>
    <row r="81" spans="1:11" ht="30.75" thickBot="1" x14ac:dyDescent="0.3">
      <c r="A81" s="1">
        <f t="shared" si="5"/>
        <v>80</v>
      </c>
      <c r="B81" s="2" t="str">
        <f t="shared" si="8"/>
        <v>0</v>
      </c>
      <c r="C81" s="2" t="str">
        <f t="shared" si="9"/>
        <v>0</v>
      </c>
      <c r="D81" s="1">
        <f t="shared" si="6"/>
        <v>0</v>
      </c>
      <c r="E81" s="2" t="str">
        <f t="shared" si="7"/>
        <v>GUINEVERE</v>
      </c>
      <c r="G81" s="5">
        <v>80</v>
      </c>
      <c r="H81" s="2" t="s">
        <v>5</v>
      </c>
      <c r="I81" s="2" t="s">
        <v>5</v>
      </c>
      <c r="J81" s="3">
        <v>0</v>
      </c>
      <c r="K81" s="4" t="s">
        <v>106</v>
      </c>
    </row>
    <row r="82" spans="1:11" ht="30.75" thickBot="1" x14ac:dyDescent="0.3">
      <c r="A82" s="1">
        <f t="shared" si="5"/>
        <v>81</v>
      </c>
      <c r="B82" s="2" t="str">
        <f t="shared" si="8"/>
        <v>0</v>
      </c>
      <c r="C82" s="2" t="str">
        <f t="shared" si="9"/>
        <v>0</v>
      </c>
      <c r="D82" s="1">
        <f t="shared" si="6"/>
        <v>1</v>
      </c>
      <c r="E82" s="2" t="str">
        <f t="shared" si="7"/>
        <v>ESMERALDA</v>
      </c>
      <c r="G82" s="2">
        <v>81</v>
      </c>
      <c r="H82" s="2" t="s">
        <v>5</v>
      </c>
      <c r="I82" s="2" t="s">
        <v>5</v>
      </c>
      <c r="J82" s="6">
        <v>1</v>
      </c>
      <c r="K82" s="4" t="s">
        <v>107</v>
      </c>
    </row>
    <row r="83" spans="1:11" ht="15.75" thickBot="1" x14ac:dyDescent="0.3">
      <c r="A83" s="1">
        <f t="shared" si="5"/>
        <v>82</v>
      </c>
      <c r="B83" s="2" t="str">
        <f t="shared" si="8"/>
        <v>16</v>
      </c>
      <c r="C83" s="2" t="str">
        <f t="shared" si="9"/>
        <v>7</v>
      </c>
      <c r="D83" s="1">
        <f t="shared" si="6"/>
        <v>0.5</v>
      </c>
      <c r="E83" s="2" t="str">
        <f t="shared" si="7"/>
        <v>TERIZLA</v>
      </c>
      <c r="G83" s="2">
        <v>82</v>
      </c>
      <c r="H83" s="2" t="s">
        <v>46</v>
      </c>
      <c r="I83" s="2" t="s">
        <v>44</v>
      </c>
      <c r="J83" s="6">
        <v>0.5</v>
      </c>
      <c r="K83" s="4" t="s">
        <v>108</v>
      </c>
    </row>
    <row r="84" spans="1:11" ht="15.75" thickBot="1" x14ac:dyDescent="0.3">
      <c r="A84" s="1">
        <f t="shared" si="5"/>
        <v>83</v>
      </c>
      <c r="B84" s="2" t="str">
        <f t="shared" si="8"/>
        <v>2</v>
      </c>
      <c r="C84" s="2" t="str">
        <f t="shared" si="9"/>
        <v>0</v>
      </c>
      <c r="D84" s="1">
        <f t="shared" si="6"/>
        <v>0.5</v>
      </c>
      <c r="E84" s="2" t="str">
        <f t="shared" si="7"/>
        <v>X.BORG</v>
      </c>
      <c r="G84" s="5">
        <v>83</v>
      </c>
      <c r="H84" s="2" t="s">
        <v>20</v>
      </c>
      <c r="I84" s="2" t="s">
        <v>5</v>
      </c>
      <c r="J84" s="6">
        <v>0.5</v>
      </c>
      <c r="K84" s="4" t="s">
        <v>109</v>
      </c>
    </row>
    <row r="85" spans="1:11" ht="15.75" thickBot="1" x14ac:dyDescent="0.3">
      <c r="A85" s="1">
        <f t="shared" si="5"/>
        <v>84</v>
      </c>
      <c r="B85" s="2" t="str">
        <f t="shared" si="8"/>
        <v>21</v>
      </c>
      <c r="C85" s="2" t="str">
        <f t="shared" si="9"/>
        <v>18</v>
      </c>
      <c r="D85" s="1">
        <f t="shared" si="6"/>
        <v>0.52</v>
      </c>
      <c r="E85" s="2" t="str">
        <f t="shared" si="7"/>
        <v>LING</v>
      </c>
      <c r="G85" s="2">
        <v>84</v>
      </c>
      <c r="H85" s="2" t="s">
        <v>110</v>
      </c>
      <c r="I85" s="2" t="s">
        <v>98</v>
      </c>
      <c r="J85" s="6">
        <v>0.52</v>
      </c>
      <c r="K85" s="4" t="s">
        <v>111</v>
      </c>
    </row>
    <row r="86" spans="1:11" ht="30.75" thickBot="1" x14ac:dyDescent="0.3">
      <c r="A86" s="1">
        <f t="shared" si="5"/>
        <v>85</v>
      </c>
      <c r="B86" s="2" t="str">
        <f t="shared" si="8"/>
        <v>2</v>
      </c>
      <c r="C86" s="2" t="str">
        <f t="shared" si="9"/>
        <v>0</v>
      </c>
      <c r="D86" s="1">
        <f t="shared" si="6"/>
        <v>0.5</v>
      </c>
      <c r="E86" s="2" t="str">
        <f t="shared" si="7"/>
        <v>DYRROTH</v>
      </c>
      <c r="G86" s="2">
        <v>85</v>
      </c>
      <c r="H86" s="2" t="s">
        <v>20</v>
      </c>
      <c r="I86" s="2" t="s">
        <v>5</v>
      </c>
      <c r="J86" s="6">
        <v>0.5</v>
      </c>
      <c r="K86" s="4" t="s">
        <v>112</v>
      </c>
    </row>
    <row r="87" spans="1:11" ht="15.75" thickBot="1" x14ac:dyDescent="0.3">
      <c r="A87" s="1">
        <f t="shared" si="5"/>
        <v>86</v>
      </c>
      <c r="B87" s="2" t="str">
        <f t="shared" si="8"/>
        <v>2</v>
      </c>
      <c r="C87" s="2" t="str">
        <f t="shared" si="9"/>
        <v>2</v>
      </c>
      <c r="D87" s="1">
        <f t="shared" si="6"/>
        <v>0.5</v>
      </c>
      <c r="E87" s="2" t="str">
        <f t="shared" si="7"/>
        <v>LYLIA</v>
      </c>
      <c r="G87" s="5">
        <v>86</v>
      </c>
      <c r="H87" s="2" t="s">
        <v>20</v>
      </c>
      <c r="I87" s="2" t="s">
        <v>20</v>
      </c>
      <c r="J87" s="6">
        <v>0.5</v>
      </c>
      <c r="K87" s="4" t="s">
        <v>113</v>
      </c>
    </row>
    <row r="88" spans="1:11" ht="15.75" thickBot="1" x14ac:dyDescent="0.3">
      <c r="A88" s="1">
        <f t="shared" si="5"/>
        <v>87</v>
      </c>
      <c r="B88" s="2" t="str">
        <f t="shared" si="8"/>
        <v>0</v>
      </c>
      <c r="C88" s="2" t="str">
        <f t="shared" si="9"/>
        <v>0</v>
      </c>
      <c r="D88" s="1">
        <f t="shared" si="6"/>
        <v>0</v>
      </c>
      <c r="E88" s="2" t="str">
        <f t="shared" si="7"/>
        <v>BAXIA</v>
      </c>
      <c r="G88" s="2">
        <v>87</v>
      </c>
      <c r="H88" s="2" t="s">
        <v>5</v>
      </c>
      <c r="I88" s="2" t="s">
        <v>5</v>
      </c>
      <c r="J88" s="3">
        <v>0</v>
      </c>
      <c r="K88" s="4" t="s">
        <v>114</v>
      </c>
    </row>
    <row r="89" spans="1:11" ht="15.75" thickBot="1" x14ac:dyDescent="0.3">
      <c r="A89" s="1">
        <f t="shared" si="5"/>
        <v>88</v>
      </c>
      <c r="B89" s="2" t="str">
        <f t="shared" si="8"/>
        <v>0</v>
      </c>
      <c r="C89" s="2" t="str">
        <f t="shared" si="9"/>
        <v>0</v>
      </c>
      <c r="D89" s="1">
        <f t="shared" si="6"/>
        <v>0</v>
      </c>
      <c r="E89" s="2" t="str">
        <f t="shared" si="7"/>
        <v>MASHA</v>
      </c>
      <c r="G89" s="2">
        <v>88</v>
      </c>
      <c r="H89" s="2" t="s">
        <v>5</v>
      </c>
      <c r="I89" s="2" t="s">
        <v>5</v>
      </c>
      <c r="J89" s="3">
        <v>0</v>
      </c>
      <c r="K89" s="4" t="s">
        <v>115</v>
      </c>
    </row>
    <row r="90" spans="1:11" ht="30.75" thickBot="1" x14ac:dyDescent="0.3">
      <c r="A90" s="1">
        <f t="shared" si="5"/>
        <v>89</v>
      </c>
      <c r="B90" s="2" t="str">
        <f t="shared" si="8"/>
        <v>0</v>
      </c>
      <c r="C90" s="2" t="str">
        <f t="shared" si="9"/>
        <v>0</v>
      </c>
      <c r="D90" s="1">
        <f t="shared" si="6"/>
        <v>0</v>
      </c>
      <c r="E90" s="2" t="str">
        <f t="shared" si="7"/>
        <v>WANWAN</v>
      </c>
      <c r="G90" s="5">
        <v>89</v>
      </c>
      <c r="H90" s="2" t="s">
        <v>5</v>
      </c>
      <c r="I90" s="2" t="s">
        <v>5</v>
      </c>
      <c r="J90" s="3">
        <v>0</v>
      </c>
      <c r="K90" s="4" t="s">
        <v>116</v>
      </c>
    </row>
    <row r="91" spans="1:11" ht="30.75" thickBot="1" x14ac:dyDescent="0.3">
      <c r="A91" s="1">
        <f t="shared" si="5"/>
        <v>90</v>
      </c>
      <c r="B91" s="2" t="str">
        <f t="shared" si="8"/>
        <v>0</v>
      </c>
      <c r="C91" s="2" t="str">
        <f t="shared" si="9"/>
        <v>0</v>
      </c>
      <c r="D91" s="1">
        <f t="shared" si="6"/>
        <v>0</v>
      </c>
      <c r="E91" s="2" t="str">
        <f t="shared" si="7"/>
        <v>SILVANNA</v>
      </c>
      <c r="G91" s="2">
        <v>90</v>
      </c>
      <c r="H91" s="2" t="s">
        <v>5</v>
      </c>
      <c r="I91" s="2" t="s">
        <v>5</v>
      </c>
      <c r="J91" s="3">
        <v>0</v>
      </c>
      <c r="K91" s="4" t="s">
        <v>117</v>
      </c>
    </row>
    <row r="92" spans="1:11" ht="27" thickBot="1" x14ac:dyDescent="0.3">
      <c r="A92" s="1">
        <f t="shared" si="5"/>
        <v>91</v>
      </c>
      <c r="B92" s="2" t="str">
        <f t="shared" si="8"/>
        <v>0</v>
      </c>
      <c r="C92" s="2" t="str">
        <f t="shared" si="9"/>
        <v>0</v>
      </c>
      <c r="D92" s="1">
        <f t="shared" si="6"/>
        <v>0</v>
      </c>
      <c r="E92" s="2" t="str">
        <f t="shared" si="7"/>
        <v>CECILION</v>
      </c>
      <c r="G92" s="2">
        <v>91</v>
      </c>
      <c r="H92" s="2" t="s">
        <v>5</v>
      </c>
      <c r="I92" s="2" t="s">
        <v>5</v>
      </c>
      <c r="J92" s="3">
        <v>0</v>
      </c>
      <c r="K92" s="4" t="s">
        <v>118</v>
      </c>
    </row>
    <row r="93" spans="1:11" ht="30.75" thickBot="1" x14ac:dyDescent="0.3">
      <c r="A93" s="1">
        <f t="shared" si="5"/>
        <v>92</v>
      </c>
      <c r="B93" s="2" t="str">
        <f t="shared" si="8"/>
        <v>2</v>
      </c>
      <c r="C93" s="2" t="str">
        <f t="shared" si="9"/>
        <v>3</v>
      </c>
      <c r="D93" s="1">
        <f t="shared" si="6"/>
        <v>1</v>
      </c>
      <c r="E93" s="2" t="str">
        <f t="shared" si="7"/>
        <v>CARMILLA</v>
      </c>
      <c r="G93" s="5">
        <v>92</v>
      </c>
      <c r="H93" s="2" t="s">
        <v>20</v>
      </c>
      <c r="I93" s="2" t="s">
        <v>10</v>
      </c>
      <c r="J93" s="6">
        <v>1</v>
      </c>
      <c r="K93" s="4" t="s">
        <v>119</v>
      </c>
    </row>
    <row r="94" spans="1:11" ht="15.75" thickBot="1" x14ac:dyDescent="0.3">
      <c r="A94" s="1">
        <f t="shared" si="5"/>
        <v>93</v>
      </c>
      <c r="B94" s="2" t="str">
        <f t="shared" si="8"/>
        <v>0</v>
      </c>
      <c r="C94" s="2" t="str">
        <f t="shared" si="9"/>
        <v>0</v>
      </c>
      <c r="D94" s="1">
        <f t="shared" si="6"/>
        <v>0</v>
      </c>
      <c r="E94" s="2" t="str">
        <f t="shared" si="7"/>
        <v>ATLAS</v>
      </c>
      <c r="G94" s="2">
        <v>93</v>
      </c>
      <c r="H94" s="2" t="s">
        <v>5</v>
      </c>
      <c r="I94" s="2" t="s">
        <v>5</v>
      </c>
      <c r="J94" s="3">
        <v>0</v>
      </c>
      <c r="K94" s="4" t="s">
        <v>120</v>
      </c>
    </row>
    <row r="95" spans="1:11" ht="39.75" thickBot="1" x14ac:dyDescent="0.3">
      <c r="A95" s="1">
        <f t="shared" si="5"/>
        <v>94</v>
      </c>
      <c r="B95" s="2" t="str">
        <f t="shared" si="8"/>
        <v>0</v>
      </c>
      <c r="C95" s="2" t="str">
        <f t="shared" si="9"/>
        <v>0</v>
      </c>
      <c r="D95" s="1">
        <f t="shared" si="6"/>
        <v>0</v>
      </c>
      <c r="E95" s="2" t="str">
        <f t="shared" si="7"/>
        <v>POPOL AND KUPA</v>
      </c>
      <c r="G95" s="2">
        <v>94</v>
      </c>
      <c r="H95" s="2" t="s">
        <v>5</v>
      </c>
      <c r="I95" s="2" t="s">
        <v>5</v>
      </c>
      <c r="J95" s="3">
        <v>0</v>
      </c>
      <c r="K95" s="7" t="s">
        <v>121</v>
      </c>
    </row>
    <row r="96" spans="1:11" ht="30.75" thickBot="1" x14ac:dyDescent="0.3">
      <c r="A96" s="1">
        <f t="shared" si="5"/>
        <v>95</v>
      </c>
      <c r="B96" s="2" t="str">
        <f t="shared" si="8"/>
        <v>0</v>
      </c>
      <c r="C96" s="2" t="str">
        <f t="shared" si="9"/>
        <v>0</v>
      </c>
      <c r="D96" s="1">
        <f t="shared" si="6"/>
        <v>0</v>
      </c>
      <c r="E96" s="2" t="str">
        <f t="shared" si="7"/>
        <v>YU ZHONG</v>
      </c>
      <c r="G96" s="5">
        <v>95</v>
      </c>
      <c r="H96" s="2" t="s">
        <v>5</v>
      </c>
      <c r="I96" s="2" t="s">
        <v>5</v>
      </c>
      <c r="J96" s="3">
        <v>0</v>
      </c>
      <c r="K96" s="4" t="s">
        <v>122</v>
      </c>
    </row>
    <row r="97" spans="1:11" ht="15.75" thickBot="1" x14ac:dyDescent="0.3">
      <c r="A97" s="1">
        <f t="shared" si="5"/>
        <v>96</v>
      </c>
      <c r="B97" s="2" t="str">
        <f t="shared" si="8"/>
        <v>5</v>
      </c>
      <c r="C97" s="2" t="str">
        <f t="shared" si="9"/>
        <v>3</v>
      </c>
      <c r="D97" s="1">
        <f t="shared" si="6"/>
        <v>0.6</v>
      </c>
      <c r="E97" s="2" t="str">
        <f t="shared" si="7"/>
        <v>LUO YI</v>
      </c>
      <c r="G97" s="2">
        <v>96</v>
      </c>
      <c r="H97" s="2" t="s">
        <v>29</v>
      </c>
      <c r="I97" s="2" t="s">
        <v>10</v>
      </c>
      <c r="J97" s="6">
        <v>0.6</v>
      </c>
      <c r="K97" s="4" t="s">
        <v>123</v>
      </c>
    </row>
    <row r="98" spans="1:11" ht="30.75" thickBot="1" x14ac:dyDescent="0.3">
      <c r="A98" s="1">
        <f t="shared" si="5"/>
        <v>97</v>
      </c>
      <c r="B98" s="2" t="str">
        <f t="shared" si="8"/>
        <v>0</v>
      </c>
      <c r="C98" s="2" t="str">
        <f t="shared" si="9"/>
        <v>0</v>
      </c>
      <c r="D98" s="1">
        <f t="shared" si="6"/>
        <v>0</v>
      </c>
      <c r="E98" s="2" t="str">
        <f t="shared" si="7"/>
        <v>BENEDETTA</v>
      </c>
      <c r="G98" s="2">
        <v>97</v>
      </c>
      <c r="H98" s="2" t="s">
        <v>5</v>
      </c>
      <c r="I98" s="2" t="s">
        <v>5</v>
      </c>
      <c r="J98" s="6">
        <v>0</v>
      </c>
      <c r="K98" s="4" t="s">
        <v>124</v>
      </c>
    </row>
    <row r="99" spans="1:11" ht="27" thickBot="1" x14ac:dyDescent="0.3">
      <c r="A99" s="1">
        <f t="shared" si="5"/>
        <v>98</v>
      </c>
      <c r="B99" s="2" t="str">
        <f t="shared" si="8"/>
        <v>9</v>
      </c>
      <c r="C99" s="2" t="str">
        <f t="shared" si="9"/>
        <v>0</v>
      </c>
      <c r="D99" s="1">
        <f t="shared" si="6"/>
        <v>0.56000000000000005</v>
      </c>
      <c r="E99" s="2" t="str">
        <f t="shared" si="7"/>
        <v>KHALEED</v>
      </c>
      <c r="G99" s="5">
        <v>98</v>
      </c>
      <c r="H99" s="2" t="s">
        <v>32</v>
      </c>
      <c r="I99" s="2" t="s">
        <v>5</v>
      </c>
      <c r="J99" s="3">
        <v>0.56000000000000005</v>
      </c>
      <c r="K99" s="4" t="s">
        <v>125</v>
      </c>
    </row>
    <row r="100" spans="1:11" ht="15.75" thickBot="1" x14ac:dyDescent="0.3">
      <c r="A100" s="1">
        <f t="shared" si="5"/>
        <v>99</v>
      </c>
      <c r="B100" s="2" t="str">
        <f t="shared" si="8"/>
        <v>0</v>
      </c>
      <c r="C100" s="2" t="str">
        <f t="shared" si="9"/>
        <v>0</v>
      </c>
      <c r="D100" s="1">
        <f t="shared" si="6"/>
        <v>0</v>
      </c>
      <c r="E100" s="2" t="str">
        <f t="shared" si="7"/>
        <v>BARATS</v>
      </c>
      <c r="G100" s="2">
        <v>99</v>
      </c>
      <c r="H100" s="2" t="s">
        <v>5</v>
      </c>
      <c r="I100" s="2" t="s">
        <v>5</v>
      </c>
      <c r="J100" s="3">
        <v>0</v>
      </c>
      <c r="K100" s="4" t="s">
        <v>126</v>
      </c>
    </row>
    <row r="101" spans="1:11" ht="15.75" thickBot="1" x14ac:dyDescent="0.3">
      <c r="A101" s="1">
        <f t="shared" si="5"/>
        <v>100</v>
      </c>
      <c r="B101" s="2" t="str">
        <f t="shared" si="8"/>
        <v>0</v>
      </c>
      <c r="C101" s="2" t="str">
        <f t="shared" si="9"/>
        <v>0</v>
      </c>
      <c r="D101" s="1">
        <f t="shared" si="6"/>
        <v>0</v>
      </c>
      <c r="E101" s="2" t="str">
        <f t="shared" si="7"/>
        <v>BRODY</v>
      </c>
      <c r="G101" s="2">
        <v>100</v>
      </c>
      <c r="H101" s="2" t="s">
        <v>5</v>
      </c>
      <c r="I101" s="2" t="s">
        <v>5</v>
      </c>
      <c r="J101" s="3">
        <v>0</v>
      </c>
      <c r="K101" s="4" t="s">
        <v>127</v>
      </c>
    </row>
    <row r="102" spans="1:11" ht="15.75" thickBot="1" x14ac:dyDescent="0.3">
      <c r="A102" s="1">
        <f t="shared" si="5"/>
        <v>101</v>
      </c>
      <c r="B102" s="2" t="str">
        <f t="shared" si="8"/>
        <v>5</v>
      </c>
      <c r="C102" s="2" t="str">
        <f t="shared" si="9"/>
        <v>2</v>
      </c>
      <c r="D102" s="1">
        <f t="shared" si="6"/>
        <v>0.4</v>
      </c>
      <c r="E102" s="2" t="str">
        <f t="shared" si="7"/>
        <v>YVE</v>
      </c>
      <c r="G102" s="5">
        <v>101</v>
      </c>
      <c r="H102" s="2" t="s">
        <v>29</v>
      </c>
      <c r="I102" s="2" t="s">
        <v>20</v>
      </c>
      <c r="J102" s="6">
        <v>0.4</v>
      </c>
      <c r="K102" s="4" t="s">
        <v>128</v>
      </c>
    </row>
    <row r="103" spans="1:11" ht="30.75" thickBot="1" x14ac:dyDescent="0.3">
      <c r="A103" s="1">
        <f t="shared" si="5"/>
        <v>102</v>
      </c>
      <c r="B103" s="2" t="str">
        <f t="shared" si="8"/>
        <v>13</v>
      </c>
      <c r="C103" s="2" t="str">
        <f t="shared" si="9"/>
        <v>15</v>
      </c>
      <c r="D103" s="1">
        <f t="shared" si="6"/>
        <v>0.46</v>
      </c>
      <c r="E103" s="2" t="str">
        <f t="shared" si="7"/>
        <v>MATHILDA</v>
      </c>
      <c r="G103" s="2">
        <v>102</v>
      </c>
      <c r="H103" s="2" t="s">
        <v>74</v>
      </c>
      <c r="I103" s="2" t="s">
        <v>129</v>
      </c>
      <c r="J103" s="6">
        <v>0.46</v>
      </c>
      <c r="K103" s="4" t="s">
        <v>130</v>
      </c>
    </row>
    <row r="104" spans="1:11" ht="15.75" thickBot="1" x14ac:dyDescent="0.3">
      <c r="A104" s="1">
        <f t="shared" si="5"/>
        <v>103</v>
      </c>
      <c r="B104" s="2" t="str">
        <f t="shared" si="8"/>
        <v>0</v>
      </c>
      <c r="C104" s="2" t="str">
        <f t="shared" si="9"/>
        <v>0</v>
      </c>
      <c r="D104" s="1">
        <f t="shared" si="6"/>
        <v>0</v>
      </c>
      <c r="E104" s="2" t="str">
        <f t="shared" si="7"/>
        <v>PAQUITO</v>
      </c>
      <c r="G104" s="2">
        <v>103</v>
      </c>
      <c r="H104" s="2" t="s">
        <v>5</v>
      </c>
      <c r="I104" s="2" t="s">
        <v>5</v>
      </c>
      <c r="J104" s="3">
        <v>0</v>
      </c>
      <c r="K104" s="4" t="s">
        <v>131</v>
      </c>
    </row>
    <row r="105" spans="1:11" ht="15.75" thickBot="1" x14ac:dyDescent="0.3">
      <c r="A105" s="1">
        <f t="shared" si="5"/>
        <v>104</v>
      </c>
      <c r="B105" s="2" t="str">
        <f t="shared" si="8"/>
        <v>0</v>
      </c>
      <c r="C105" s="2" t="str">
        <f t="shared" si="9"/>
        <v>0</v>
      </c>
      <c r="D105" s="1">
        <f t="shared" si="6"/>
        <v>0</v>
      </c>
      <c r="E105" s="2" t="str">
        <f t="shared" si="7"/>
        <v>GLOO</v>
      </c>
      <c r="G105" s="5">
        <v>104</v>
      </c>
      <c r="H105" s="2" t="s">
        <v>5</v>
      </c>
      <c r="I105" s="2" t="s">
        <v>5</v>
      </c>
      <c r="J105" s="3">
        <v>0</v>
      </c>
      <c r="K105" s="4" t="s">
        <v>132</v>
      </c>
    </row>
    <row r="106" spans="1:11" ht="15.75" thickBot="1" x14ac:dyDescent="0.3">
      <c r="A106" s="1">
        <f t="shared" si="5"/>
        <v>105</v>
      </c>
      <c r="B106" s="2" t="str">
        <f t="shared" si="8"/>
        <v>0</v>
      </c>
      <c r="C106" s="2" t="str">
        <f t="shared" si="9"/>
        <v>0</v>
      </c>
      <c r="D106" s="1">
        <f t="shared" si="6"/>
        <v>0</v>
      </c>
      <c r="E106" s="2" t="str">
        <f t="shared" si="7"/>
        <v>BEATRIX</v>
      </c>
      <c r="G106" s="2">
        <v>105</v>
      </c>
      <c r="H106" s="2" t="s">
        <v>5</v>
      </c>
      <c r="I106" s="2" t="s">
        <v>5</v>
      </c>
      <c r="J106" s="6">
        <v>0</v>
      </c>
      <c r="K106" s="4" t="s">
        <v>133</v>
      </c>
    </row>
    <row r="107" spans="1:11" ht="30.75" thickBot="1" x14ac:dyDescent="0.3">
      <c r="A107" s="1">
        <f t="shared" si="5"/>
        <v>106</v>
      </c>
      <c r="B107" s="2" t="str">
        <f t="shared" si="8"/>
        <v>17</v>
      </c>
      <c r="C107" s="2" t="str">
        <f t="shared" si="9"/>
        <v>25</v>
      </c>
      <c r="D107" s="1">
        <f t="shared" si="6"/>
        <v>0.53</v>
      </c>
      <c r="E107" s="2" t="str">
        <f t="shared" si="7"/>
        <v>PHOVEUS</v>
      </c>
      <c r="G107" s="2">
        <v>106</v>
      </c>
      <c r="H107" s="2" t="s">
        <v>47</v>
      </c>
      <c r="I107" s="2" t="s">
        <v>50</v>
      </c>
      <c r="J107" s="6">
        <v>0.53</v>
      </c>
      <c r="K107" s="4" t="s">
        <v>134</v>
      </c>
    </row>
    <row r="108" spans="1:11" ht="15.75" thickBot="1" x14ac:dyDescent="0.3">
      <c r="A108" s="1">
        <f t="shared" si="5"/>
        <v>107</v>
      </c>
      <c r="B108" s="2" t="str">
        <f t="shared" si="8"/>
        <v>10</v>
      </c>
      <c r="C108" s="2" t="str">
        <f t="shared" si="9"/>
        <v>8</v>
      </c>
      <c r="D108" s="1">
        <f t="shared" si="6"/>
        <v>0.4</v>
      </c>
      <c r="E108" s="2" t="str">
        <f t="shared" si="7"/>
        <v>NATAN</v>
      </c>
      <c r="G108" s="5">
        <v>107</v>
      </c>
      <c r="H108" s="2" t="s">
        <v>41</v>
      </c>
      <c r="I108" s="2" t="s">
        <v>56</v>
      </c>
      <c r="J108" s="6">
        <v>0.4</v>
      </c>
      <c r="K108" s="4" t="s">
        <v>135</v>
      </c>
    </row>
    <row r="109" spans="1:11" ht="15.75" thickBot="1" x14ac:dyDescent="0.3">
      <c r="A109" s="1">
        <f t="shared" si="5"/>
        <v>108</v>
      </c>
      <c r="B109" s="2" t="str">
        <f t="shared" si="8"/>
        <v>0</v>
      </c>
      <c r="C109" s="2" t="str">
        <f t="shared" si="9"/>
        <v>0</v>
      </c>
      <c r="D109" s="1">
        <f t="shared" si="6"/>
        <v>0</v>
      </c>
      <c r="E109" s="2" t="str">
        <f t="shared" si="7"/>
        <v>AULUS</v>
      </c>
      <c r="G109" s="2">
        <v>108</v>
      </c>
      <c r="H109" s="2" t="s">
        <v>5</v>
      </c>
      <c r="I109" s="2" t="s">
        <v>5</v>
      </c>
      <c r="J109" s="3">
        <v>0</v>
      </c>
      <c r="K109" s="4" t="s">
        <v>136</v>
      </c>
    </row>
    <row r="110" spans="1:11" ht="15.75" thickBot="1" x14ac:dyDescent="0.3">
      <c r="A110" s="1">
        <f t="shared" si="5"/>
        <v>109</v>
      </c>
      <c r="B110" s="2" t="str">
        <f t="shared" si="8"/>
        <v>0</v>
      </c>
      <c r="C110" s="2" t="str">
        <f t="shared" si="9"/>
        <v>0</v>
      </c>
      <c r="D110" s="1">
        <f t="shared" si="6"/>
        <v>0</v>
      </c>
      <c r="E110" s="2" t="str">
        <f t="shared" si="7"/>
        <v>AAMON</v>
      </c>
      <c r="G110" s="2">
        <v>109</v>
      </c>
      <c r="H110" s="2" t="s">
        <v>5</v>
      </c>
      <c r="I110" s="2" t="s">
        <v>5</v>
      </c>
      <c r="J110" s="3">
        <v>0</v>
      </c>
      <c r="K110" s="4" t="s">
        <v>137</v>
      </c>
    </row>
    <row r="111" spans="1:11" ht="30.75" thickBot="1" x14ac:dyDescent="0.3">
      <c r="A111" s="1">
        <f t="shared" si="5"/>
        <v>110</v>
      </c>
      <c r="B111" s="2" t="str">
        <f t="shared" si="8"/>
        <v>16</v>
      </c>
      <c r="C111" s="2" t="str">
        <f t="shared" si="9"/>
        <v>3</v>
      </c>
      <c r="D111" s="1">
        <f t="shared" si="6"/>
        <v>0.5</v>
      </c>
      <c r="E111" s="2" t="str">
        <f t="shared" si="7"/>
        <v>VALENTINA</v>
      </c>
      <c r="G111" s="5">
        <v>110</v>
      </c>
      <c r="H111" s="2" t="s">
        <v>46</v>
      </c>
      <c r="I111" s="2" t="s">
        <v>10</v>
      </c>
      <c r="J111" s="6">
        <v>0.5</v>
      </c>
      <c r="K111" s="4" t="s">
        <v>138</v>
      </c>
    </row>
    <row r="112" spans="1:11" ht="15.75" thickBot="1" x14ac:dyDescent="0.3">
      <c r="A112" s="1">
        <f t="shared" si="5"/>
        <v>111</v>
      </c>
      <c r="B112" s="2" t="str">
        <f t="shared" si="8"/>
        <v>22</v>
      </c>
      <c r="C112" s="2" t="str">
        <f t="shared" si="9"/>
        <v>17</v>
      </c>
      <c r="D112" s="1">
        <f t="shared" si="6"/>
        <v>0.55000000000000004</v>
      </c>
      <c r="E112" s="2" t="str">
        <f t="shared" si="7"/>
        <v>EDITH</v>
      </c>
      <c r="G112" s="2">
        <v>111</v>
      </c>
      <c r="H112" s="2" t="s">
        <v>14</v>
      </c>
      <c r="I112" s="2" t="s">
        <v>47</v>
      </c>
      <c r="J112" s="6">
        <v>0.55000000000000004</v>
      </c>
      <c r="K112" s="4" t="s">
        <v>139</v>
      </c>
    </row>
    <row r="113" spans="1:11" ht="15.75" thickBot="1" x14ac:dyDescent="0.3">
      <c r="A113" s="1">
        <f t="shared" si="5"/>
        <v>112</v>
      </c>
      <c r="B113" s="2" t="str">
        <f t="shared" si="8"/>
        <v>0</v>
      </c>
      <c r="C113" s="2" t="str">
        <f t="shared" si="9"/>
        <v>0</v>
      </c>
      <c r="D113" s="1">
        <f t="shared" si="6"/>
        <v>0</v>
      </c>
      <c r="E113" s="2" t="str">
        <f t="shared" si="7"/>
        <v>FLORYN</v>
      </c>
      <c r="G113" s="2">
        <v>112</v>
      </c>
      <c r="H113" s="2" t="s">
        <v>5</v>
      </c>
      <c r="I113" s="2" t="s">
        <v>5</v>
      </c>
      <c r="J113" s="3">
        <v>0</v>
      </c>
      <c r="K113" s="4" t="s">
        <v>140</v>
      </c>
    </row>
    <row r="114" spans="1:11" ht="15.75" thickBot="1" x14ac:dyDescent="0.3">
      <c r="A114" s="1">
        <f t="shared" si="5"/>
        <v>113</v>
      </c>
      <c r="B114" s="2" t="str">
        <f t="shared" si="8"/>
        <v>0</v>
      </c>
      <c r="C114" s="2" t="str">
        <f t="shared" si="9"/>
        <v>0</v>
      </c>
      <c r="D114" s="1">
        <f t="shared" si="6"/>
        <v>0</v>
      </c>
      <c r="E114" s="2" t="str">
        <f t="shared" si="7"/>
        <v>YIN</v>
      </c>
      <c r="G114" s="5">
        <v>113</v>
      </c>
      <c r="H114" s="2" t="s">
        <v>5</v>
      </c>
      <c r="I114" s="2" t="s">
        <v>5</v>
      </c>
      <c r="J114" s="3">
        <v>0</v>
      </c>
      <c r="K114" s="4" t="s">
        <v>141</v>
      </c>
    </row>
    <row r="115" spans="1:11" ht="15.75" thickBot="1" x14ac:dyDescent="0.3">
      <c r="A115" s="1">
        <f t="shared" si="5"/>
        <v>114</v>
      </c>
      <c r="B115" s="2" t="str">
        <f t="shared" si="8"/>
        <v>0</v>
      </c>
      <c r="C115" s="2" t="str">
        <f t="shared" si="9"/>
        <v>0</v>
      </c>
      <c r="D115" s="1">
        <f t="shared" si="6"/>
        <v>0</v>
      </c>
      <c r="E115" s="2" t="str">
        <f t="shared" si="7"/>
        <v>MELISSA</v>
      </c>
      <c r="G115" s="2">
        <v>114</v>
      </c>
      <c r="H115" s="2" t="s">
        <v>5</v>
      </c>
      <c r="I115" s="2" t="s">
        <v>5</v>
      </c>
      <c r="J115" s="3">
        <v>0</v>
      </c>
      <c r="K115" s="4" t="s">
        <v>142</v>
      </c>
    </row>
    <row r="116" spans="1:11" ht="15.75" thickBot="1" x14ac:dyDescent="0.3">
      <c r="A116" s="1">
        <f t="shared" si="5"/>
        <v>115</v>
      </c>
      <c r="B116" s="2" t="str">
        <f t="shared" si="8"/>
        <v>0</v>
      </c>
      <c r="C116" s="2" t="str">
        <f t="shared" si="9"/>
        <v>0</v>
      </c>
      <c r="D116" s="1">
        <f t="shared" si="6"/>
        <v>0</v>
      </c>
      <c r="E116" s="2" t="str">
        <f t="shared" si="7"/>
        <v>XAVIER</v>
      </c>
      <c r="G116" s="2">
        <v>115</v>
      </c>
      <c r="H116" s="2" t="s">
        <v>5</v>
      </c>
      <c r="I116" s="2" t="s">
        <v>5</v>
      </c>
      <c r="J116" s="3">
        <v>0</v>
      </c>
      <c r="K116" s="4" t="s">
        <v>143</v>
      </c>
    </row>
    <row r="117" spans="1:11" ht="15.75" thickBot="1" x14ac:dyDescent="0.3">
      <c r="A117" s="1">
        <f t="shared" si="5"/>
        <v>116</v>
      </c>
      <c r="B117" s="2" t="str">
        <f t="shared" si="8"/>
        <v>6</v>
      </c>
      <c r="C117" s="2" t="str">
        <f t="shared" si="9"/>
        <v>6</v>
      </c>
      <c r="D117" s="1">
        <f t="shared" si="6"/>
        <v>0.67</v>
      </c>
      <c r="E117" s="2" t="str">
        <f t="shared" si="7"/>
        <v>JULIAN</v>
      </c>
      <c r="G117" s="5">
        <v>116</v>
      </c>
      <c r="H117" s="2" t="s">
        <v>30</v>
      </c>
      <c r="I117" s="2" t="s">
        <v>30</v>
      </c>
      <c r="J117" s="6">
        <v>0.67</v>
      </c>
      <c r="K117" s="4" t="s">
        <v>144</v>
      </c>
    </row>
    <row r="118" spans="1:11" ht="30.75" thickBot="1" x14ac:dyDescent="0.3">
      <c r="A118" s="1">
        <f t="shared" si="5"/>
        <v>117</v>
      </c>
      <c r="B118" s="2" t="str">
        <f t="shared" si="8"/>
        <v>0</v>
      </c>
      <c r="C118" s="2" t="str">
        <f t="shared" si="9"/>
        <v>0</v>
      </c>
      <c r="D118" s="1">
        <f t="shared" si="6"/>
        <v>0</v>
      </c>
      <c r="E118" s="2" t="str">
        <f t="shared" si="7"/>
        <v>FREDRINN</v>
      </c>
      <c r="G118" s="2">
        <v>117</v>
      </c>
      <c r="H118" s="2" t="s">
        <v>5</v>
      </c>
      <c r="I118" s="2" t="s">
        <v>5</v>
      </c>
      <c r="J118" s="3">
        <v>0</v>
      </c>
      <c r="K118" s="4" t="s">
        <v>145</v>
      </c>
    </row>
    <row r="119" spans="1:11" ht="15.75" thickBot="1" x14ac:dyDescent="0.3">
      <c r="A119" s="1">
        <f t="shared" si="5"/>
        <v>118</v>
      </c>
      <c r="B119" s="2" t="str">
        <f t="shared" si="8"/>
        <v>0</v>
      </c>
      <c r="C119" s="2" t="str">
        <f t="shared" si="9"/>
        <v>0</v>
      </c>
      <c r="D119" s="1">
        <f t="shared" si="6"/>
        <v>0</v>
      </c>
      <c r="E119" s="2" t="str">
        <f t="shared" si="7"/>
        <v>JOY</v>
      </c>
      <c r="G119" s="2">
        <v>118</v>
      </c>
      <c r="H119" s="2" t="s">
        <v>5</v>
      </c>
      <c r="I119" s="2" t="s">
        <v>5</v>
      </c>
      <c r="J119" s="3">
        <v>0</v>
      </c>
      <c r="K119" s="4" t="s">
        <v>146</v>
      </c>
    </row>
    <row r="120" spans="1:11" ht="30.75" thickBot="1" x14ac:dyDescent="0.3">
      <c r="A120" s="1">
        <f t="shared" si="5"/>
        <v>119</v>
      </c>
      <c r="B120" s="2" t="str">
        <f t="shared" si="8"/>
        <v>3</v>
      </c>
      <c r="C120" s="2" t="str">
        <f t="shared" si="9"/>
        <v>0</v>
      </c>
      <c r="D120" s="1">
        <f t="shared" si="6"/>
        <v>0.33</v>
      </c>
      <c r="E120" s="2" t="str">
        <f t="shared" si="7"/>
        <v>NOVARIA</v>
      </c>
      <c r="G120" s="5">
        <v>119</v>
      </c>
      <c r="H120" s="2" t="s">
        <v>10</v>
      </c>
      <c r="I120" s="2" t="s">
        <v>5</v>
      </c>
      <c r="J120" s="6">
        <v>0.33</v>
      </c>
      <c r="K120" s="4" t="s">
        <v>147</v>
      </c>
    </row>
    <row r="121" spans="1:11" ht="15.75" thickBot="1" x14ac:dyDescent="0.3">
      <c r="A121" s="1">
        <f t="shared" si="5"/>
        <v>120</v>
      </c>
      <c r="B121" s="2" t="str">
        <f t="shared" si="8"/>
        <v>9</v>
      </c>
      <c r="C121" s="2" t="str">
        <f t="shared" si="9"/>
        <v>7</v>
      </c>
      <c r="D121" s="1">
        <f t="shared" si="6"/>
        <v>0.67</v>
      </c>
      <c r="E121" s="2" t="str">
        <f t="shared" si="7"/>
        <v>ARLOTT</v>
      </c>
      <c r="G121" s="2">
        <v>120</v>
      </c>
      <c r="H121" s="2" t="s">
        <v>32</v>
      </c>
      <c r="I121" s="2" t="s">
        <v>44</v>
      </c>
      <c r="J121" s="6">
        <v>0.67</v>
      </c>
      <c r="K121" s="4" t="s">
        <v>148</v>
      </c>
    </row>
    <row r="122" spans="1:11" ht="15.75" thickBot="1" x14ac:dyDescent="0.3">
      <c r="A122" s="1">
        <f t="shared" si="5"/>
        <v>121</v>
      </c>
      <c r="B122" s="2" t="str">
        <f t="shared" si="8"/>
        <v>0</v>
      </c>
      <c r="C122" s="2" t="str">
        <f t="shared" si="9"/>
        <v>0</v>
      </c>
      <c r="D122" s="1">
        <f t="shared" si="6"/>
        <v>0</v>
      </c>
      <c r="E122" s="2" t="str">
        <f t="shared" si="7"/>
        <v>IXIA</v>
      </c>
      <c r="G122" s="2">
        <v>121</v>
      </c>
      <c r="H122" s="2" t="s">
        <v>5</v>
      </c>
      <c r="I122" s="2" t="s">
        <v>5</v>
      </c>
      <c r="J122" s="3">
        <v>0</v>
      </c>
      <c r="K122" s="4" t="s">
        <v>149</v>
      </c>
    </row>
    <row r="123" spans="1:11" ht="15.75" thickBot="1" x14ac:dyDescent="0.3">
      <c r="A123" s="1">
        <f t="shared" si="5"/>
        <v>122</v>
      </c>
      <c r="B123" s="2" t="str">
        <f t="shared" si="8"/>
        <v>18</v>
      </c>
      <c r="C123" s="2" t="str">
        <f t="shared" si="9"/>
        <v>6</v>
      </c>
      <c r="D123" s="1">
        <f t="shared" si="6"/>
        <v>0.5</v>
      </c>
      <c r="E123" s="2" t="str">
        <f t="shared" si="7"/>
        <v>NOLAN</v>
      </c>
      <c r="G123" s="5">
        <v>122</v>
      </c>
      <c r="H123" s="2" t="s">
        <v>98</v>
      </c>
      <c r="I123" s="2" t="s">
        <v>30</v>
      </c>
      <c r="J123" s="6">
        <v>0.5</v>
      </c>
      <c r="K123" s="4" t="s">
        <v>150</v>
      </c>
    </row>
    <row r="124" spans="1:11" ht="15.75" thickBot="1" x14ac:dyDescent="0.3">
      <c r="A124" s="1">
        <f t="shared" si="5"/>
        <v>123</v>
      </c>
      <c r="B124" s="2" t="str">
        <f t="shared" si="8"/>
        <v>0</v>
      </c>
      <c r="C124" s="2" t="str">
        <f t="shared" si="9"/>
        <v>0</v>
      </c>
      <c r="D124" s="1">
        <f t="shared" si="6"/>
        <v>1</v>
      </c>
      <c r="E124" s="2" t="str">
        <f t="shared" si="7"/>
        <v>CICI</v>
      </c>
      <c r="G124" s="2">
        <v>123</v>
      </c>
      <c r="H124" s="2" t="s">
        <v>5</v>
      </c>
      <c r="I124" s="2" t="s">
        <v>5</v>
      </c>
      <c r="J124" s="3">
        <v>1</v>
      </c>
      <c r="K124" s="4" t="s">
        <v>151</v>
      </c>
    </row>
    <row r="125" spans="1:11" ht="15.75" thickBot="1" x14ac:dyDescent="0.3">
      <c r="A125" s="1">
        <f t="shared" si="5"/>
        <v>124</v>
      </c>
      <c r="B125" s="2" t="str">
        <f t="shared" si="8"/>
        <v>4</v>
      </c>
      <c r="C125" s="2" t="str">
        <f t="shared" si="9"/>
        <v>45</v>
      </c>
      <c r="D125" s="1">
        <f t="shared" si="6"/>
        <v>0.5</v>
      </c>
      <c r="E125" s="2" t="str">
        <f t="shared" si="7"/>
        <v>CHIP</v>
      </c>
      <c r="G125" s="2">
        <v>124</v>
      </c>
      <c r="H125" s="2" t="s">
        <v>9</v>
      </c>
      <c r="I125" s="2" t="s">
        <v>152</v>
      </c>
      <c r="J125" s="6">
        <v>0.5</v>
      </c>
      <c r="K125" s="4" t="s">
        <v>153</v>
      </c>
    </row>
    <row r="126" spans="1:11" ht="15.75" thickBot="1" x14ac:dyDescent="0.3">
      <c r="A126" s="1">
        <f t="shared" si="5"/>
        <v>125</v>
      </c>
      <c r="B126" s="2" t="str">
        <f t="shared" si="8"/>
        <v>8</v>
      </c>
      <c r="C126" s="2" t="str">
        <f t="shared" si="9"/>
        <v>23</v>
      </c>
      <c r="D126" s="1">
        <f t="shared" si="6"/>
        <v>0.25</v>
      </c>
      <c r="E126" s="2" t="str">
        <f t="shared" si="7"/>
        <v>ZHUXIN</v>
      </c>
      <c r="G126" s="5">
        <v>125</v>
      </c>
      <c r="H126" s="2" t="s">
        <v>56</v>
      </c>
      <c r="I126" s="2" t="s">
        <v>154</v>
      </c>
      <c r="J126" s="6">
        <v>0.25</v>
      </c>
      <c r="K126" s="4" t="s">
        <v>155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1DE4-B3C0-4788-9566-6B5F65ACC082}">
  <dimension ref="A1:N5"/>
  <sheetViews>
    <sheetView tabSelected="1" workbookViewId="0">
      <selection activeCell="K9" sqref="K9"/>
    </sheetView>
  </sheetViews>
  <sheetFormatPr defaultRowHeight="15" x14ac:dyDescent="0.25"/>
  <cols>
    <col min="2" max="10" width="13.5703125" customWidth="1"/>
    <col min="14" max="14" width="16.5703125" customWidth="1"/>
  </cols>
  <sheetData>
    <row r="1" spans="1:14" x14ac:dyDescent="0.25">
      <c r="B1" s="8" t="s">
        <v>157</v>
      </c>
      <c r="C1" s="8" t="s">
        <v>158</v>
      </c>
      <c r="D1" s="8" t="s">
        <v>159</v>
      </c>
      <c r="E1" s="8" t="s">
        <v>160</v>
      </c>
      <c r="F1" s="8"/>
      <c r="G1" s="8" t="s">
        <v>160</v>
      </c>
      <c r="H1" s="8" t="s">
        <v>159</v>
      </c>
      <c r="I1" s="8" t="s">
        <v>158</v>
      </c>
      <c r="J1" s="8" t="s">
        <v>157</v>
      </c>
      <c r="M1" s="8" t="s">
        <v>161</v>
      </c>
      <c r="N1" t="s">
        <v>164</v>
      </c>
    </row>
    <row r="2" spans="1:14" x14ac:dyDescent="0.25">
      <c r="B2" s="9">
        <v>0</v>
      </c>
      <c r="C2" s="9">
        <v>0</v>
      </c>
      <c r="D2" s="9">
        <v>0</v>
      </c>
      <c r="E2" s="9">
        <v>0</v>
      </c>
      <c r="F2" s="9"/>
      <c r="G2" s="9">
        <v>0</v>
      </c>
      <c r="H2" s="9">
        <v>0</v>
      </c>
      <c r="I2" s="9">
        <v>0</v>
      </c>
      <c r="J2" s="9">
        <v>0</v>
      </c>
      <c r="M2" t="s">
        <v>162</v>
      </c>
      <c r="N2" t="s">
        <v>165</v>
      </c>
    </row>
    <row r="3" spans="1:14" x14ac:dyDescent="0.25">
      <c r="A3" t="s">
        <v>156</v>
      </c>
      <c r="B3" t="str">
        <f>$N$1&amp;B2&amp;".png"</f>
        <v>C:\data\vs\wl\0.png</v>
      </c>
      <c r="C3" t="str">
        <f>$N$1&amp;C2&amp;".png"</f>
        <v>C:\data\vs\wl\0.png</v>
      </c>
      <c r="D3" t="str">
        <f>$N$1&amp;D2&amp;".png"</f>
        <v>C:\data\vs\wl\0.png</v>
      </c>
      <c r="E3" t="str">
        <f>$N$1&amp;E2&amp;".png"</f>
        <v>C:\data\vs\wl\0.png</v>
      </c>
      <c r="G3" t="str">
        <f>$N$1&amp;G2&amp;".png"</f>
        <v>C:\data\vs\wl\0.png</v>
      </c>
      <c r="H3" t="str">
        <f t="shared" ref="F3:J3" si="0">$N$1&amp;H2&amp;".png"</f>
        <v>C:\data\vs\wl\0.png</v>
      </c>
      <c r="I3" t="str">
        <f t="shared" si="0"/>
        <v>C:\data\vs\wl\0.png</v>
      </c>
      <c r="J3" t="str">
        <f t="shared" si="0"/>
        <v>C:\data\vs\wl\0.png</v>
      </c>
      <c r="M3" t="s">
        <v>163</v>
      </c>
      <c r="N3" t="s">
        <v>166</v>
      </c>
    </row>
    <row r="4" spans="1:14" x14ac:dyDescent="0.25">
      <c r="A4" t="s">
        <v>162</v>
      </c>
      <c r="B4" t="str">
        <f>$N$2&amp;B2&amp;".png"</f>
        <v>C:\data\hud\wl\0.png</v>
      </c>
      <c r="C4" t="str">
        <f t="shared" ref="C4:J4" si="1">$N$2&amp;C2&amp;".png"</f>
        <v>C:\data\hud\wl\0.png</v>
      </c>
      <c r="D4" t="str">
        <f t="shared" si="1"/>
        <v>C:\data\hud\wl\0.png</v>
      </c>
      <c r="E4" t="str">
        <f t="shared" si="1"/>
        <v>C:\data\hud\wl\0.png</v>
      </c>
      <c r="G4" t="str">
        <f t="shared" si="1"/>
        <v>C:\data\hud\wl\0.png</v>
      </c>
      <c r="H4" t="str">
        <f t="shared" si="1"/>
        <v>C:\data\hud\wl\0.png</v>
      </c>
      <c r="I4" t="str">
        <f t="shared" si="1"/>
        <v>C:\data\hud\wl\0.png</v>
      </c>
      <c r="J4" t="str">
        <f t="shared" si="1"/>
        <v>C:\data\hud\wl\0.png</v>
      </c>
    </row>
    <row r="5" spans="1:14" x14ac:dyDescent="0.25">
      <c r="A5" t="s">
        <v>163</v>
      </c>
      <c r="B5" t="str">
        <f>$N$3&amp;B2&amp;".png"</f>
        <v>C:\data\result\wl\0.png</v>
      </c>
      <c r="C5" t="str">
        <f t="shared" ref="C5:J5" si="2">$N$3&amp;C2&amp;".png"</f>
        <v>C:\data\result\wl\0.png</v>
      </c>
      <c r="D5" t="str">
        <f t="shared" si="2"/>
        <v>C:\data\result\wl\0.png</v>
      </c>
      <c r="E5" t="str">
        <f t="shared" si="2"/>
        <v>C:\data\result\wl\0.png</v>
      </c>
      <c r="G5" t="str">
        <f t="shared" si="2"/>
        <v>C:\data\result\wl\0.png</v>
      </c>
      <c r="H5" t="str">
        <f t="shared" si="2"/>
        <v>C:\data\result\wl\0.png</v>
      </c>
      <c r="I5" t="str">
        <f t="shared" si="2"/>
        <v>C:\data\result\wl\0.png</v>
      </c>
      <c r="J5" t="str">
        <f t="shared" si="2"/>
        <v>C:\data\result\wl\0.png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GCN</dc:creator>
  <cp:lastModifiedBy>GCN</cp:lastModifiedBy>
  <dcterms:created xsi:type="dcterms:W3CDTF">2025-03-10T07:02:20Z</dcterms:created>
  <dcterms:modified xsi:type="dcterms:W3CDTF">2025-03-10T10:44:24Z</dcterms:modified>
</cp:coreProperties>
</file>